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b71c8a239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6e4c5fe83ad441a"/>
    <x:sheet xmlns:r="http://schemas.openxmlformats.org/officeDocument/2006/relationships" name="STL" sheetId="2" r:id="R3b8b87d83cc2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&quot;$&quot;0.000000"/>
    <x:numFmt numFmtId="202" formatCode="0.0"/>
    <x:numFmt numFmtId="203" formatCode="0"/>
    <x:numFmt numFmtId="204" formatCode="#,##0"/>
  </x:numFmts>
  <x:fonts count="7">
    <x:font>
      <x:sz val="11"/>
      <x:name val="Carlito"/>
    </x:font>
    <x:font>
      <x:sz val="10"/>
      <x:color rgb="FF172330"/>
      <x:name val="Arial"/>
    </x:font>
    <x:font>
      <x:b/>
      <x:sz val="10"/>
      <x:color rgb="FFFFFFFF"/>
      <x:name val="Arial"/>
    </x:font>
    <x:font>
      <x:b/>
      <x:sz val="14"/>
      <x:color rgb="FF172330"/>
      <x:name val="Arial"/>
    </x:font>
    <x:font>
      <x:sz val="10"/>
      <x:color rgb="FF68727C"/>
      <x:name val="Arial"/>
    </x:font>
    <x:font>
      <x:b/>
      <x:sz val="10"/>
      <x:color rgb="FF172330"/>
      <x:name val="Arial"/>
    </x:font>
    <x:font>
      <x:b/>
      <x:sz val="12"/>
      <x:color rgb="FF17233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89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68727C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1" xfId="0" applyNumberFormat="1" applyFont="1" applyFill="1" applyBorder="1"/>
    <x:xf numFmtId="204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a004ec5b649b4" /><Relationship Type="http://schemas.openxmlformats.org/officeDocument/2006/relationships/theme" Target="/xl/theme/theme1.xml" Id="R60f884e4dbee4baa" /><Relationship Type="http://schemas.openxmlformats.org/officeDocument/2006/relationships/sharedStrings" Target="/xl/sharedStrings.xml" Id="R5bc45e633ad94851" /><Relationship Type="http://schemas.openxmlformats.org/officeDocument/2006/relationships/worksheet" Target="/xl/worksheets/sheet1.xml" Id="R96e4c5fe83ad441a" /><Relationship Type="http://schemas.openxmlformats.org/officeDocument/2006/relationships/worksheet" Target="/xl/worksheets/sheet2.xml" Id="R3b8b87d83cc24b26" /></Relationships>
</file>

<file path=xl/tables/table1.xml><?xml version="1.0" encoding="utf-8"?>
<x:table xmlns:x="http://schemas.openxmlformats.org/spreadsheetml/2006/main" id="1" name="STLResults" displayName="STLResults" ref="A3:U103" headerRowCount="1" totalsRowCount="0" totalsRowShown="0">
  <x:tableColumns count="21">
    <x:tableColumn id="1" name="Домен"/>
    <x:tableColumn id="2" name="Группа"/>
    <x:tableColumn id="3" name="ID"/>
    <x:tableColumn id="4" name="Название"/>
    <x:tableColumn id="5" name="Категория"/>
    <x:tableColumn id="6" name="Статус"/>
    <x:tableColumn id="7" name="Завершён"/>
    <x:tableColumn id="8" name="IoU первый"/>
    <x:tableColumn id="9" name="IoU лучший"/>
    <x:tableColumn id="10" name="CAD валиден"/>
    <x:tableColumn id="11" name="Вызовы"/>
    <x:tableColumn id="12" name="Токены"/>
    <x:tableColumn id="13" name="USD"/>
    <x:tableColumn id="14" name="Время, с"/>
    <x:tableColumn id="15" name="Источник STL"/>
    <x:tableColumn id="16" name="Причина остановки"/>
    <x:tableColumn id="17" name="SHA-256 входа"/>
    <x:tableColumn id="18" name="Первый, неудача=0"/>
    <x:tableColumn id="19" name="Лучший, неудача=0"/>
    <x:tableColumn id="20" name="IoU ≥ 0.9"/>
    <x:tableColumn id="21" name="Улучше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73d29a330a41cc" /></Relationships>
</file>

<file path=xl/worksheets/sheet1.xml><?xml version="1.0" encoding="utf-8"?>
<x:worksheet xmlns:x="http://schemas.openxmlformats.org/spreadsheetml/2006/main">
  <x:sheetPr>
    <x:tabColor rgb="FF245B89"/>
  </x:sheetPr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3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2">
      <x:c r="A2" s="14" t="str">
        <x:v>Mesh2CAD: 50 деталей и 50 объектов интерьера</x:v>
      </x:c>
    </x:row>
    <x:row r="3">
      <x:c r="A3" s="15" t="str">
        <x:v>Classic harness. Модель openai/gpt-6-luna. 23 октября 2026.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5" t="str">
        <x:v>На домен: 15 + 15 + 15 + 5 STL. Выход: 16 000 токенов. Бюджет каждой группы: 1 000 000 токенов.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7" t="str">
        <x:v>Домен</x:v>
      </x:c>
      <x:c r="B6" s="7" t="str">
        <x:v>Готово</x:v>
      </x:c>
      <x:c r="C6" s="7" t="str">
        <x:v>Выбрано</x:v>
      </x:c>
      <x:c r="D6" s="7" t="str">
        <x:v>IoU первый</x:v>
      </x:c>
      <x:c r="E6" s="7" t="str">
        <x:v>IoU harness</x:v>
      </x:c>
      <x:c r="F6" s="7" t="str">
        <x:v>Прирост IoU</x:v>
      </x:c>
      <x:c r="G6" s="7" t="str">
        <x:v>Валидный CAD</x:v>
      </x:c>
      <x:c r="H6" s="7" t="str">
        <x:v>IoU ≥ 0.9</x:v>
      </x:c>
      <x:c r="I6" s="7" t="str">
        <x:v>Ответы API</x:v>
      </x:c>
      <x:c r="J6" s="7" t="str">
        <x:v>Токены ответов</x:v>
      </x:c>
      <x:c r="K6" s="7" t="str">
        <x:v>USD по ответам</x:v>
      </x:c>
      <x:c r="L6" s="7" t="str">
        <x:v>Сек. / STL</x:v>
      </x:c>
    </x:row>
    <x:row r="7" ht="27" customHeight="1">
      <x:c r="A7" s="1" t="str">
        <x:v>deepcad</x:v>
      </x:c>
      <x:c r="B7" s="16" t="n">
        <x:f>COUNTIFS('STL'!$G$4:$G$103,1,'STL'!$A$4:$A$103,$A7)</x:f>
        <x:v>50</x:v>
      </x:c>
      <x:c r="C7" s="16" t="n">
        <x:f>COUNTIFS('STL'!$A$4:$A$103,$A7)</x:f>
        <x:v>50</x:v>
      </x:c>
      <x:c r="D7" s="17" t="n">
        <x:f>IF(B7=0,"n.a.",SUMIFS('STL'!$R$4:$R$103,'STL'!$A$4:$A$103,$A7)/B7)</x:f>
        <x:v>0.7213929558835513</x:v>
      </x:c>
      <x:c r="E7" s="17" t="n">
        <x:f>IF(B7=0,"n.a.",SUMIFS('STL'!$S$4:$S$103,'STL'!$A$4:$A$103,$A7)/B7)</x:f>
        <x:v>0.9335124625539973</x:v>
      </x:c>
      <x:c r="F7" s="17" t="n">
        <x:f>IF(B7=0,"n.a.",E7-D7)</x:f>
        <x:v>0.212119506670446</x:v>
      </x:c>
      <x:c r="G7" s="16" t="n">
        <x:f>COUNTIFS('STL'!$J$4:$J$103,1,'STL'!$G$4:$G$103,1,'STL'!$A$4:$A$103,$A7)</x:f>
        <x:v>50</x:v>
      </x:c>
      <x:c r="H7" s="16" t="n">
        <x:f>COUNTIFS('STL'!$T$4:$T$103,1,'STL'!$G$4:$G$103,1,'STL'!$A$4:$A$103,$A7)</x:f>
        <x:v>42</x:v>
      </x:c>
      <x:c r="I7" s="16" t="n">
        <x:f>SUMIFS('STL'!$K$4:$K$103,'STL'!$A$4:$A$103,$A7)</x:f>
        <x:v>107</x:v>
      </x:c>
      <x:c r="J7" s="16" t="n">
        <x:f>SUMIFS('STL'!$L$4:$L$103,'STL'!$A$4:$A$103,$A7)</x:f>
        <x:v>776507</x:v>
      </x:c>
      <x:c r="K7" s="18" t="n">
        <x:f>SUMIFS('STL'!$M$4:$M$103,'STL'!$A$4:$A$103,$A7)</x:f>
        <x:v>0.2035403</x:v>
      </x:c>
      <x:c r="L7" s="19" t="n">
        <x:f>IF(B7=0,"n.a.",SUMIFS('STL'!$N$4:$N$103,'STL'!$A$4:$A$103,$A7)/B7)</x:f>
        <x:v>69.63639600326086</x:v>
      </x:c>
    </x:row>
    <x:row r="8" ht="27" customHeight="1">
      <x:c r="A8" s="1" t="str">
        <x:v>interior300</x:v>
      </x:c>
      <x:c r="B8" s="16" t="n">
        <x:f>COUNTIFS('STL'!$G$4:$G$103,1,'STL'!$A$4:$A$103,$A8)</x:f>
        <x:v>50</x:v>
      </x:c>
      <x:c r="C8" s="16" t="n">
        <x:f>COUNTIFS('STL'!$A$4:$A$103,$A8)</x:f>
        <x:v>50</x:v>
      </x:c>
      <x:c r="D8" s="17" t="n">
        <x:f>IF(B8=0,"n.a.",SUMIFS('STL'!$R$4:$R$103,'STL'!$A$4:$A$103,$A8)/B8)</x:f>
        <x:v>0.28013256356287486</x:v>
      </x:c>
      <x:c r="E8" s="17" t="n">
        <x:f>IF(B8=0,"n.a.",SUMIFS('STL'!$S$4:$S$103,'STL'!$A$4:$A$103,$A8)/B8)</x:f>
        <x:v>0.420858696764944</x:v>
      </x:c>
      <x:c r="F8" s="17" t="n">
        <x:f>IF(B8=0,"n.a.",E8-D8)</x:f>
        <x:v>0.14072613320206911</x:v>
      </x:c>
      <x:c r="G8" s="16" t="n">
        <x:f>COUNTIFS('STL'!$J$4:$J$103,1,'STL'!$G$4:$G$103,1,'STL'!$A$4:$A$103,$A8)</x:f>
        <x:v>49</x:v>
      </x:c>
      <x:c r="H8" s="16" t="n">
        <x:f>COUNTIFS('STL'!$T$4:$T$103,1,'STL'!$G$4:$G$103,1,'STL'!$A$4:$A$103,$A8)</x:f>
        <x:v>8</x:v>
      </x:c>
      <x:c r="I8" s="16" t="n">
        <x:f>SUMIFS('STL'!$K$4:$K$103,'STL'!$A$4:$A$103,$A8)</x:f>
        <x:v>211</x:v>
      </x:c>
      <x:c r="J8" s="16" t="n">
        <x:f>SUMIFS('STL'!$L$4:$L$103,'STL'!$A$4:$A$103,$A8)</x:f>
        <x:v>2031786</x:v>
      </x:c>
      <x:c r="K8" s="18" t="n">
        <x:f>SUMIFS('STL'!$M$4:$M$103,'STL'!$A$4:$A$103,$A8)</x:f>
        <x:v>0.48797916500000005</x:v>
      </x:c>
      <x:c r="L8" s="19" t="n">
        <x:f>IF(B8=0,"n.a.",SUMIFS('STL'!$N$4:$N$103,'STL'!$A$4:$A$103,$A8)/B8)</x:f>
        <x:v>156.25647561945308</x:v>
      </x:c>
    </x:row>
    <x:row r="9" ht="27" customHeight="1">
      <x:c r="A9" s="25" t="str">
        <x:v>Все</x:v>
      </x:c>
      <x:c r="B9" s="26" t="n">
        <x:f>COUNTIFS('STL'!$G$4:$G$103,1)</x:f>
        <x:v>100</x:v>
      </x:c>
      <x:c r="C9" s="26" t="n">
        <x:f>COUNTA('STL'!$A$4:$A$103)</x:f>
        <x:v>100</x:v>
      </x:c>
      <x:c r="D9" s="27" t="n">
        <x:f>IF(B9=0,"n.a.",SUM('STL'!$R$4:$R$103)/B9)</x:f>
        <x:v>0.5007627597232134</x:v>
      </x:c>
      <x:c r="E9" s="27" t="n">
        <x:f>IF(B9=0,"n.a.",SUM('STL'!$S$4:$S$103)/B9)</x:f>
        <x:v>0.6771855796594707</x:v>
      </x:c>
      <x:c r="F9" s="27" t="n">
        <x:f>IF(B9=0,"n.a.",E9-D9)</x:f>
        <x:v>0.1764228199362573</x:v>
      </x:c>
      <x:c r="G9" s="26" t="n">
        <x:f>COUNTIFS('STL'!$J$4:$J$103,1,'STL'!$G$4:$G$103,1)</x:f>
        <x:v>99</x:v>
      </x:c>
      <x:c r="H9" s="26" t="n">
        <x:f>COUNTIFS('STL'!$T$4:$T$103,1,'STL'!$G$4:$G$103,1)</x:f>
        <x:v>50</x:v>
      </x:c>
      <x:c r="I9" s="26" t="n">
        <x:f>SUM('STL'!$K$4:$K$103)</x:f>
        <x:v>318</x:v>
      </x:c>
      <x:c r="J9" s="26" t="n">
        <x:f>SUM('STL'!$L$4:$L$103)</x:f>
        <x:v>2808293</x:v>
      </x:c>
      <x:c r="K9" s="28" t="n">
        <x:f>SUM('STL'!$M$4:$M$103)</x:f>
        <x:v>0.6915194649999998</x:v>
      </x:c>
      <x:c r="L9" s="29" t="n">
        <x:f>IF(B9=0,"n.a.",SUM('STL'!$N$4:$N$103)/B9)</x:f>
        <x:v>112.94643581135695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5" t="str">
        <x:v>IoU объёмный. Неудачная завершённая реконструкция даёт 0. Незавершённые STL исключены из средних.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5" t="str">
        <x:v>Первый ответ входит в harness. В основной таблице: usage сохранённых ответов. Локальные вычисления не включены.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5" t="str">
        <x:v>Сложность DeepCAD определена по входной геометрии. Это локальные подвыборки, а не официальный полный бенчмарк.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6">
      <x:c r="A16" s="30" t="str">
        <x:v>Сверка расхода по ключу API</x:v>
      </x:c>
    </x:row>
    <x:row r="17" ht="24" customHeight="1">
      <x:c r="A17" s="4" t="str">
        <x:v>Категория</x:v>
      </x:c>
      <x:c r="B17" s="4"/>
      <x:c r="C17" s="4"/>
      <x:c r="D17" s="4" t="str">
        <x:v>USD</x:v>
      </x:c>
    </x:row>
    <x:row r="18" ht="23" customHeight="1">
      <x:c r="A18" s="1" t="str">
        <x:v>Сохранённые ответы</x:v>
      </x:c>
      <x:c r="B18" s="1"/>
      <x:c r="C18" s="1"/>
      <x:c r="D18" s="18" t="n">
        <x:f>K9</x:f>
        <x:v>0.6915194649999998</x:v>
      </x:c>
    </x:row>
    <x:row r="19" ht="23" customHeight="1">
      <x:c r="A19" s="1" t="str">
        <x:v>Без сохранённого ответа</x:v>
      </x:c>
      <x:c r="B19" s="1"/>
      <x:c r="C19" s="1"/>
      <x:c r="D19" s="18" t="n">
        <x:v>0.0025856400000003887</x:v>
      </x:c>
    </x:row>
    <x:row r="20" ht="23" customHeight="1">
      <x:c r="A20" s="20" t="str">
        <x:v>Всего по окну ключа</x:v>
      </x:c>
      <x:c r="B20" s="20"/>
      <x:c r="C20" s="20"/>
      <x:c r="D20" s="23" t="n">
        <x:f>SUM(D18:D19)</x:f>
        <x:v>0.6941051050000002</x:v>
      </x:c>
    </x:row>
    <x:row r="21">
      <x:c r="A21" s="1"/>
      <x:c r="B21" s="1"/>
      <x:c r="C21" s="1"/>
      <x:c r="D21" s="1"/>
    </x:row>
    <x:row r="22">
      <x:c r="A22" s="1" t="str">
        <x:v>HTTP-ошибки</x:v>
      </x:c>
      <x:c r="B22" s="1" t="n">
        <x:v>6</x:v>
      </x:c>
      <x:c r="C22" s="1"/>
      <x:c r="D22" s="1"/>
    </x:row>
    <x:row r="23">
      <x:c r="A23" s="15" t="str">
        <x:v>Токены несохранённых ответов и разбивка дополнительных расходов по STL неизвестны.</x:v>
      </x:c>
    </x:row>
    <x:row r="24">
      <x:c r="A24" s="15" t="str">
        <x:v>Источник сверки: audit.json, provider-before (в protocol.json) и provider-after.json.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3" hidden="0" customWidth="1"/>
    <x:col min="17" max="17" width="68" hidden="0" customWidth="1"/>
    <x:col min="18" max="18" width="21" hidden="0" customWidth="1"/>
    <x:col min="19" max="19" width="21" hidden="0" customWidth="1"/>
    <x:col min="20" max="20" width="15" hidden="0" customWidth="1"/>
    <x:col min="21" max="21" width="15" hidden="0" customWidth="1"/>
  </x:cols>
  <x:sheetData>
    <x:row r="1">
      <x:c r="A1" t="str">
        <x:v>Источник: /Users/egoriy/Projects/msu-ai-school/output/benchmarks/20261023-hard50-interior50/items.csv</x:v>
      </x:c>
    </x:row>
    <x:row r="3" ht="32" customHeight="1">
      <x:c r="A3" s="7" t="str">
        <x:v>Домен</x:v>
      </x:c>
      <x:c r="B3" s="7" t="str">
        <x:v>Группа</x:v>
      </x:c>
      <x:c r="C3" s="7" t="str">
        <x:v>ID</x:v>
      </x:c>
      <x:c r="D3" s="7" t="str">
        <x:v>Название</x:v>
      </x:c>
      <x:c r="E3" s="7" t="str">
        <x:v>Категория</x:v>
      </x:c>
      <x:c r="F3" s="7" t="str">
        <x:v>Статус</x:v>
      </x:c>
      <x:c r="G3" s="7" t="str">
        <x:v>Завершён</x:v>
      </x:c>
      <x:c r="H3" s="7" t="str">
        <x:v>IoU первый</x:v>
      </x:c>
      <x:c r="I3" s="7" t="str">
        <x:v>IoU лучший</x:v>
      </x:c>
      <x:c r="J3" s="7" t="str">
        <x:v>CAD валиден</x:v>
      </x:c>
      <x:c r="K3" s="7" t="str">
        <x:v>Вызовы</x:v>
      </x:c>
      <x:c r="L3" s="7" t="str">
        <x:v>Токены</x:v>
      </x:c>
      <x:c r="M3" s="7" t="str">
        <x:v>USD</x:v>
      </x:c>
      <x:c r="N3" s="7" t="str">
        <x:v>Время, с</x:v>
      </x:c>
      <x:c r="O3" s="7" t="str">
        <x:v>Источник STL</x:v>
      </x:c>
      <x:c r="P3" s="7" t="str">
        <x:v>Причина остановки</x:v>
      </x:c>
      <x:c r="Q3" s="7" t="str">
        <x:v>SHA-256 входа</x:v>
      </x:c>
      <x:c r="R3" s="7" t="str">
        <x:v>Первый, неудача=0</x:v>
      </x:c>
      <x:c r="S3" s="7" t="str">
        <x:v>Лучший, неудача=0</x:v>
      </x:c>
      <x:c r="T3" s="7" t="str">
        <x:v>IoU ≥ 0.9</x:v>
      </x:c>
      <x:c r="U3" s="7" t="str">
        <x:v>Улучшен</x:v>
      </x:c>
    </x:row>
    <x:row r="4" ht="15" hidden="0" customHeight="1">
      <x:c r="A4" s="2" t="str">
        <x:v>deepcad</x:v>
      </x:c>
      <x:c r="B4" s="12" t="n">
        <x:v>1</x:v>
      </x:c>
      <x:c r="C4" s="2" t="str">
        <x:v>39e6d36142177f5b</x:v>
      </x:c>
      <x:c r="D4" s="8" t="str">
        <x:v>00800192.stl</x:v>
      </x:c>
      <x:c r="E4" s="2" t="str"/>
      <x:c r="F4" s="2" t="str">
        <x:v>success</x:v>
      </x:c>
      <x:c r="G4" s="12" t="n">
        <x:v>1</x:v>
      </x:c>
      <x:c r="H4" s="9" t="n">
        <x:v>0.03383493415986163</x:v>
      </x:c>
      <x:c r="I4" s="9" t="n">
        <x:v>0.904029289994683</x:v>
      </x:c>
      <x:c r="J4" s="13" t="n">
        <x:v>1</x:v>
      </x:c>
      <x:c r="K4" s="13" t="n">
        <x:v>2</x:v>
      </x:c>
      <x:c r="L4" s="13" t="n">
        <x:v>20318</x:v>
      </x:c>
      <x:c r="M4" s="10" t="n">
        <x:v>0.00695869</x:v>
      </x:c>
      <x:c r="N4" s="11" t="n">
        <x:v>116.22135112500703</x:v>
      </x:c>
      <x:c r="O4" s="2" t="str"/>
      <x:c r="P4" s="2" t="str">
        <x:v>target_iou</x:v>
      </x:c>
      <x:c r="Q4" s="2" t="str">
        <x:v>ccd90247cc853700fa95ea742ccf4141ab40af7fdbe348b8716eb2645b22de10</x:v>
      </x:c>
      <x:c r="R4" s="9" t="n">
        <x:f>IF(G4=1,IF(ISNUMBER(H4),H4,0),"")</x:f>
        <x:v>0.03383493415986163</x:v>
      </x:c>
      <x:c r="S4" s="9" t="n">
        <x:f>IF(G4=1,IF(ISNUMBER(I4),I4,0),"")</x:f>
        <x:v>0.904029289994683</x:v>
      </x:c>
      <x:c r="T4" s="12" t="n">
        <x:f>IF(G4=1,IF(S4&gt;=0.9,1,0),0)</x:f>
        <x:v>1</x:v>
      </x:c>
      <x:c r="U4" s="12" t="n">
        <x:f>IF(G4=1,IF(S4&gt;R4+0.000001,1,0),0)</x:f>
        <x:v>1</x:v>
      </x:c>
    </x:row>
    <x:row r="5" ht="15" hidden="0" customHeight="1">
      <x:c r="A5" s="2" t="str">
        <x:v>deepcad</x:v>
      </x:c>
      <x:c r="B5" s="12" t="n">
        <x:v>1</x:v>
      </x:c>
      <x:c r="C5" s="2" t="str">
        <x:v>5b036c725faed13e</x:v>
      </x:c>
      <x:c r="D5" s="8" t="str">
        <x:v>00511214.stl</x:v>
      </x:c>
      <x:c r="E5" s="2" t="str"/>
      <x:c r="F5" s="2" t="str">
        <x:v>stalled</x:v>
      </x:c>
      <x:c r="G5" s="12" t="n">
        <x:v>1</x:v>
      </x:c>
      <x:c r="H5" s="9" t="n">
        <x:v>0.41023293266413274</x:v>
      </x:c>
      <x:c r="I5" s="9" t="n">
        <x:v>0.6514863984410199</x:v>
      </x:c>
      <x:c r="J5" s="13" t="n">
        <x:v>1</x:v>
      </x:c>
      <x:c r="K5" s="13" t="n">
        <x:v>5</x:v>
      </x:c>
      <x:c r="L5" s="13" t="n">
        <x:v>45312</x:v>
      </x:c>
      <x:c r="M5" s="10" t="n">
        <x:v>0.011697735</x:v>
      </x:c>
      <x:c r="N5" s="11" t="n">
        <x:v>213.90377337599347</x:v>
      </x:c>
      <x:c r="O5" s="2" t="str"/>
      <x:c r="P5" s="2" t="str">
        <x:v>no_improvement</x:v>
      </x:c>
      <x:c r="Q5" s="2" t="str">
        <x:v>71e1e36c4cb42610e106157a8379743fb2768d0c6ba5567a86fc415aecde6aa3</x:v>
      </x:c>
      <x:c r="R5" s="9" t="n">
        <x:f>IF(G5=1,IF(ISNUMBER(H5),H5,0),"")</x:f>
        <x:v>0.41023293266413274</x:v>
      </x:c>
      <x:c r="S5" s="9" t="n">
        <x:f>IF(G5=1,IF(ISNUMBER(I5),I5,0),"")</x:f>
        <x:v>0.6514863984410199</x:v>
      </x:c>
      <x:c r="T5" s="12" t="n">
        <x:f>IF(G5=1,IF(S5&gt;=0.9,1,0),0)</x:f>
        <x:v>0</x:v>
      </x:c>
      <x:c r="U5" s="12" t="n">
        <x:f>IF(G5=1,IF(S5&gt;R5+0.000001,1,0),0)</x:f>
        <x:v>1</x:v>
      </x:c>
    </x:row>
    <x:row r="6" ht="15" hidden="0" customHeight="1">
      <x:c r="A6" s="2" t="str">
        <x:v>deepcad</x:v>
      </x:c>
      <x:c r="B6" s="12" t="n">
        <x:v>1</x:v>
      </x:c>
      <x:c r="C6" s="2" t="str">
        <x:v>e047ff1f8bb703bb</x:v>
      </x:c>
      <x:c r="D6" s="8" t="str">
        <x:v>00907059.stl</x:v>
      </x:c>
      <x:c r="E6" s="2" t="str"/>
      <x:c r="F6" s="2" t="str">
        <x:v>stalled</x:v>
      </x:c>
      <x:c r="G6" s="12" t="n">
        <x:v>1</x:v>
      </x:c>
      <x:c r="H6" s="9" t="n">
        <x:v>0.12317090154204713</x:v>
      </x:c>
      <x:c r="I6" s="9" t="n">
        <x:v>0.8022925931998652</x:v>
      </x:c>
      <x:c r="J6" s="13" t="n">
        <x:v>1</x:v>
      </x:c>
      <x:c r="K6" s="13" t="n">
        <x:v>5</x:v>
      </x:c>
      <x:c r="L6" s="13" t="n">
        <x:v>40089</x:v>
      </x:c>
      <x:c r="M6" s="10" t="n">
        <x:v>0.009255735</x:v>
      </x:c>
      <x:c r="N6" s="11" t="n">
        <x:v>168.5770982910014</x:v>
      </x:c>
      <x:c r="O6" s="2" t="str"/>
      <x:c r="P6" s="2" t="str">
        <x:v>no_improvement</x:v>
      </x:c>
      <x:c r="Q6" s="2" t="str">
        <x:v>22d15b975c73ee96ff184b8b2627d35697d0c5f36214686e3bacd085c88ec1cb</x:v>
      </x:c>
      <x:c r="R6" s="9" t="n">
        <x:f>IF(G6=1,IF(ISNUMBER(H6),H6,0),"")</x:f>
        <x:v>0.12317090154204713</x:v>
      </x:c>
      <x:c r="S6" s="9" t="n">
        <x:f>IF(G6=1,IF(ISNUMBER(I6),I6,0),"")</x:f>
        <x:v>0.8022925931998652</x:v>
      </x:c>
      <x:c r="T6" s="12" t="n">
        <x:f>IF(G6=1,IF(S6&gt;=0.9,1,0),0)</x:f>
        <x:v>0</x:v>
      </x:c>
      <x:c r="U6" s="12" t="n">
        <x:f>IF(G6=1,IF(S6&gt;R6+0.000001,1,0),0)</x:f>
        <x:v>1</x:v>
      </x:c>
    </x:row>
    <x:row r="7" ht="15" hidden="0" customHeight="1">
      <x:c r="A7" s="2" t="str">
        <x:v>deepcad</x:v>
      </x:c>
      <x:c r="B7" s="12" t="n">
        <x:v>1</x:v>
      </x:c>
      <x:c r="C7" s="2" t="str">
        <x:v>e9b474085750fc92</x:v>
      </x:c>
      <x:c r="D7" s="8" t="str">
        <x:v>00941249.stl</x:v>
      </x:c>
      <x:c r="E7" s="2" t="str"/>
      <x:c r="F7" s="2" t="str">
        <x:v>success</x:v>
      </x:c>
      <x:c r="G7" s="12" t="n">
        <x:v>1</x:v>
      </x:c>
      <x:c r="H7" s="9" t="n">
        <x:v>0.6053566886669257</x:v>
      </x:c>
      <x:c r="I7" s="9" t="n">
        <x:v>0.9972115737271269</x:v>
      </x:c>
      <x:c r="J7" s="13" t="n">
        <x:v>1</x:v>
      </x:c>
      <x:c r="K7" s="13" t="n">
        <x:v>2</x:v>
      </x:c>
      <x:c r="L7" s="13" t="n">
        <x:v>10830</x:v>
      </x:c>
      <x:c r="M7" s="10" t="n">
        <x:v>0.0022924</x:v>
      </x:c>
      <x:c r="N7" s="11" t="n">
        <x:v>46.73318370900257</x:v>
      </x:c>
      <x:c r="O7" s="2" t="str"/>
      <x:c r="P7" s="2" t="str">
        <x:v>target_iou</x:v>
      </x:c>
      <x:c r="Q7" s="2" t="str">
        <x:v>12d354e0bec855a2787fb4d1bed86f7609c756ed2bc58dcd9c5b6eb89d510a9b</x:v>
      </x:c>
      <x:c r="R7" s="9" t="n">
        <x:f>IF(G7=1,IF(ISNUMBER(H7),H7,0),"")</x:f>
        <x:v>0.6053566886669257</x:v>
      </x:c>
      <x:c r="S7" s="9" t="n">
        <x:f>IF(G7=1,IF(ISNUMBER(I7),I7,0),"")</x:f>
        <x:v>0.9972115737271269</x:v>
      </x:c>
      <x:c r="T7" s="12" t="n">
        <x:f>IF(G7=1,IF(S7&gt;=0.9,1,0),0)</x:f>
        <x:v>1</x:v>
      </x:c>
      <x:c r="U7" s="12" t="n">
        <x:f>IF(G7=1,IF(S7&gt;R7+0.000001,1,0),0)</x:f>
        <x:v>1</x:v>
      </x:c>
    </x:row>
    <x:row r="8" ht="15" hidden="0" customHeight="1">
      <x:c r="A8" s="2" t="str">
        <x:v>deepcad</x:v>
      </x:c>
      <x:c r="B8" s="12" t="n">
        <x:v>1</x:v>
      </x:c>
      <x:c r="C8" s="2" t="str">
        <x:v>3d7d0e9d104d2ce7</x:v>
      </x:c>
      <x:c r="D8" s="8" t="str">
        <x:v>00242128.stl</x:v>
      </x:c>
      <x:c r="E8" s="2" t="str"/>
      <x:c r="F8" s="2" t="str">
        <x:v>success</x:v>
      </x:c>
      <x:c r="G8" s="12" t="n">
        <x:v>1</x:v>
      </x:c>
      <x:c r="H8" s="9" t="n">
        <x:v>0.38115900371729156</x:v>
      </x:c>
      <x:c r="I8" s="9" t="n">
        <x:v>0.9070832148045099</x:v>
      </x:c>
      <x:c r="J8" s="13" t="n">
        <x:v>1</x:v>
      </x:c>
      <x:c r="K8" s="13" t="n">
        <x:v>3</x:v>
      </x:c>
      <x:c r="L8" s="13" t="n">
        <x:v>29763</x:v>
      </x:c>
      <x:c r="M8" s="10" t="n">
        <x:v>0.00882108</x:v>
      </x:c>
      <x:c r="N8" s="11" t="n">
        <x:v>153.58241345800042</x:v>
      </x:c>
      <x:c r="O8" s="2" t="str"/>
      <x:c r="P8" s="2" t="str">
        <x:v>target_iou</x:v>
      </x:c>
      <x:c r="Q8" s="2" t="str">
        <x:v>a0fcac7becb14d3c8e2533817a79677dfa46b0c8019369fa01e5c51e79fd4028</x:v>
      </x:c>
      <x:c r="R8" s="9" t="n">
        <x:f>IF(G8=1,IF(ISNUMBER(H8),H8,0),"")</x:f>
        <x:v>0.38115900371729156</x:v>
      </x:c>
      <x:c r="S8" s="9" t="n">
        <x:f>IF(G8=1,IF(ISNUMBER(I8),I8,0),"")</x:f>
        <x:v>0.9070832148045099</x:v>
      </x:c>
      <x:c r="T8" s="12" t="n">
        <x:f>IF(G8=1,IF(S8&gt;=0.9,1,0),0)</x:f>
        <x:v>1</x:v>
      </x:c>
      <x:c r="U8" s="12" t="n">
        <x:f>IF(G8=1,IF(S8&gt;R8+0.000001,1,0),0)</x:f>
        <x:v>1</x:v>
      </x:c>
    </x:row>
    <x:row r="9" ht="15" hidden="0" customHeight="1">
      <x:c r="A9" s="2" t="str">
        <x:v>deepcad</x:v>
      </x:c>
      <x:c r="B9" s="12" t="n">
        <x:v>1</x:v>
      </x:c>
      <x:c r="C9" s="2" t="str">
        <x:v>26f14d2ad3528b49</x:v>
      </x:c>
      <x:c r="D9" s="8" t="str">
        <x:v>00459539.stl</x:v>
      </x:c>
      <x:c r="E9" s="2" t="str"/>
      <x:c r="F9" s="2" t="str">
        <x:v>success</x:v>
      </x:c>
      <x:c r="G9" s="12" t="n">
        <x:v>1</x:v>
      </x:c>
      <x:c r="H9" s="9" t="n">
        <x:v>0</x:v>
      </x:c>
      <x:c r="I9" s="9" t="n">
        <x:v>0.9559681239205177</x:v>
      </x:c>
      <x:c r="J9" s="13" t="n">
        <x:v>1</x:v>
      </x:c>
      <x:c r="K9" s="13" t="n">
        <x:v>2</x:v>
      </x:c>
      <x:c r="L9" s="13" t="n">
        <x:v>13492</x:v>
      </x:c>
      <x:c r="M9" s="10" t="n">
        <x:v>0.003507815</x:v>
      </x:c>
      <x:c r="N9" s="11" t="n">
        <x:v>58.55749650000327</x:v>
      </x:c>
      <x:c r="O9" s="2" t="str"/>
      <x:c r="P9" s="2" t="str">
        <x:v>target_iou</x:v>
      </x:c>
      <x:c r="Q9" s="2" t="str">
        <x:v>4292c2b16d16991b71fff4dff5a4314dcf116687f3325e40c335af6d4c542633</x:v>
      </x:c>
      <x:c r="R9" s="9" t="n">
        <x:f>IF(G9=1,IF(ISNUMBER(H9),H9,0),"")</x:f>
        <x:v>0</x:v>
      </x:c>
      <x:c r="S9" s="9" t="n">
        <x:f>IF(G9=1,IF(ISNUMBER(I9),I9,0),"")</x:f>
        <x:v>0.9559681239205177</x:v>
      </x:c>
      <x:c r="T9" s="12" t="n">
        <x:f>IF(G9=1,IF(S9&gt;=0.9,1,0),0)</x:f>
        <x:v>1</x:v>
      </x:c>
      <x:c r="U9" s="12" t="n">
        <x:f>IF(G9=1,IF(S9&gt;R9+0.000001,1,0),0)</x:f>
        <x:v>1</x:v>
      </x:c>
    </x:row>
    <x:row r="10" ht="15" hidden="0" customHeight="1">
      <x:c r="A10" s="2" t="str">
        <x:v>deepcad</x:v>
      </x:c>
      <x:c r="B10" s="12" t="n">
        <x:v>1</x:v>
      </x:c>
      <x:c r="C10" s="2" t="str">
        <x:v>d6bbab8cc4dd415f</x:v>
      </x:c>
      <x:c r="D10" s="8" t="str">
        <x:v>00394620.stl</x:v>
      </x:c>
      <x:c r="E10" s="2" t="str"/>
      <x:c r="F10" s="2" t="str">
        <x:v>success</x:v>
      </x:c>
      <x:c r="G10" s="12" t="n">
        <x:v>1</x:v>
      </x:c>
      <x:c r="H10" s="9" t="n">
        <x:v>0.23209100958473544</x:v>
      </x:c>
      <x:c r="I10" s="9" t="n">
        <x:v>0.9215565072263945</x:v>
      </x:c>
      <x:c r="J10" s="13" t="n">
        <x:v>1</x:v>
      </x:c>
      <x:c r="K10" s="13" t="n">
        <x:v>2</x:v>
      </x:c>
      <x:c r="L10" s="13" t="n">
        <x:v>11188</x:v>
      </x:c>
      <x:c r="M10" s="10" t="n">
        <x:v>0.00252419</x:v>
      </x:c>
      <x:c r="N10" s="11" t="n">
        <x:v>59.89463212599629</x:v>
      </x:c>
      <x:c r="O10" s="2" t="str"/>
      <x:c r="P10" s="2" t="str">
        <x:v>target_iou</x:v>
      </x:c>
      <x:c r="Q10" s="2" t="str">
        <x:v>2773e4848152f45719fb453baa5b20556931f5838d51dd6eb5b2440a3e2a3007</x:v>
      </x:c>
      <x:c r="R10" s="9" t="n">
        <x:f>IF(G10=1,IF(ISNUMBER(H10),H10,0),"")</x:f>
        <x:v>0.23209100958473544</x:v>
      </x:c>
      <x:c r="S10" s="9" t="n">
        <x:f>IF(G10=1,IF(ISNUMBER(I10),I10,0),"")</x:f>
        <x:v>0.9215565072263945</x:v>
      </x:c>
      <x:c r="T10" s="12" t="n">
        <x:f>IF(G10=1,IF(S10&gt;=0.9,1,0),0)</x:f>
        <x:v>1</x:v>
      </x:c>
      <x:c r="U10" s="12" t="n">
        <x:f>IF(G10=1,IF(S10&gt;R10+0.000001,1,0),0)</x:f>
        <x:v>1</x:v>
      </x:c>
    </x:row>
    <x:row r="11" ht="15" hidden="0" customHeight="1">
      <x:c r="A11" s="2" t="str">
        <x:v>deepcad</x:v>
      </x:c>
      <x:c r="B11" s="12" t="n">
        <x:v>1</x:v>
      </x:c>
      <x:c r="C11" s="2" t="str">
        <x:v>49315b39c76e73cd</x:v>
      </x:c>
      <x:c r="D11" s="8" t="str">
        <x:v>00423708.stl</x:v>
      </x:c>
      <x:c r="E11" s="2" t="str"/>
      <x:c r="F11" s="2" t="str">
        <x:v>exhausted</x:v>
      </x:c>
      <x:c r="G11" s="12" t="n">
        <x:v>1</x:v>
      </x:c>
      <x:c r="H11" s="9" t="n">
        <x:v>0.7873147312377161</x:v>
      </x:c>
      <x:c r="I11" s="9" t="n">
        <x:v>0.8894239485805853</x:v>
      </x:c>
      <x:c r="J11" s="13" t="n">
        <x:v>1</x:v>
      </x:c>
      <x:c r="K11" s="13" t="n">
        <x:v>5</x:v>
      </x:c>
      <x:c r="L11" s="13" t="n">
        <x:v>62171</x:v>
      </x:c>
      <x:c r="M11" s="10" t="n">
        <x:v>0.016126735</x:v>
      </x:c>
      <x:c r="N11" s="11" t="n">
        <x:v>219.7044776250118</x:v>
      </x:c>
      <x:c r="O11" s="2" t="str"/>
      <x:c r="P11" s="2" t="str">
        <x:v>max_iterations</x:v>
      </x:c>
      <x:c r="Q11" s="2" t="str">
        <x:v>c17cde91e8d78e123c2b9d81aa763161f9e01c2dcf7b34ded543e9358020baad</x:v>
      </x:c>
      <x:c r="R11" s="9" t="n">
        <x:f>IF(G11=1,IF(ISNUMBER(H11),H11,0),"")</x:f>
        <x:v>0.7873147312377161</x:v>
      </x:c>
      <x:c r="S11" s="9" t="n">
        <x:f>IF(G11=1,IF(ISNUMBER(I11),I11,0),"")</x:f>
        <x:v>0.8894239485805853</x:v>
      </x:c>
      <x:c r="T11" s="12" t="n">
        <x:f>IF(G11=1,IF(S11&gt;=0.9,1,0),0)</x:f>
        <x:v>0</x:v>
      </x:c>
      <x:c r="U11" s="12" t="n">
        <x:f>IF(G11=1,IF(S11&gt;R11+0.000001,1,0),0)</x:f>
        <x:v>1</x:v>
      </x:c>
    </x:row>
    <x:row r="12" ht="15" hidden="0" customHeight="1">
      <x:c r="A12" s="2" t="str">
        <x:v>deepcad</x:v>
      </x:c>
      <x:c r="B12" s="12" t="n">
        <x:v>1</x:v>
      </x:c>
      <x:c r="C12" s="2" t="str">
        <x:v>8c1a9e564fd2cd29</x:v>
      </x:c>
      <x:c r="D12" s="8" t="str">
        <x:v>00263485.stl</x:v>
      </x:c>
      <x:c r="E12" s="2" t="str"/>
      <x:c r="F12" s="2" t="str">
        <x:v>exhausted</x:v>
      </x:c>
      <x:c r="G12" s="12" t="n">
        <x:v>1</x:v>
      </x:c>
      <x:c r="H12" s="9" t="n">
        <x:v>0.702041792442896</x:v>
      </x:c>
      <x:c r="I12" s="9" t="n">
        <x:v>0.7772962979508714</x:v>
      </x:c>
      <x:c r="J12" s="13" t="n">
        <x:v>1</x:v>
      </x:c>
      <x:c r="K12" s="13" t="n">
        <x:v>5</x:v>
      </x:c>
      <x:c r="L12" s="13" t="n">
        <x:v>49931</x:v>
      </x:c>
      <x:c r="M12" s="10" t="n">
        <x:v>0.014220985</x:v>
      </x:c>
      <x:c r="N12" s="11" t="n">
        <x:v>223.71286424999172</x:v>
      </x:c>
      <x:c r="O12" s="2" t="str"/>
      <x:c r="P12" s="2" t="str">
        <x:v>max_iterations</x:v>
      </x:c>
      <x:c r="Q12" s="2" t="str">
        <x:v>7dad6744198cdd70c13cc9bec6f0523da9509102bd0d659fb2ba5e43fe0bd43e</x:v>
      </x:c>
      <x:c r="R12" s="9" t="n">
        <x:f>IF(G12=1,IF(ISNUMBER(H12),H12,0),"")</x:f>
        <x:v>0.702041792442896</x:v>
      </x:c>
      <x:c r="S12" s="9" t="n">
        <x:f>IF(G12=1,IF(ISNUMBER(I12),I12,0),"")</x:f>
        <x:v>0.7772962979508714</x:v>
      </x:c>
      <x:c r="T12" s="12" t="n">
        <x:f>IF(G12=1,IF(S12&gt;=0.9,1,0),0)</x:f>
        <x:v>0</x:v>
      </x:c>
      <x:c r="U12" s="12" t="n">
        <x:f>IF(G12=1,IF(S12&gt;R12+0.000001,1,0),0)</x:f>
        <x:v>1</x:v>
      </x:c>
    </x:row>
    <x:row r="13" ht="15" hidden="0" customHeight="1">
      <x:c r="A13" s="2" t="str">
        <x:v>deepcad</x:v>
      </x:c>
      <x:c r="B13" s="12" t="n">
        <x:v>1</x:v>
      </x:c>
      <x:c r="C13" s="2" t="str">
        <x:v>20ff58da5fb0288c</x:v>
      </x:c>
      <x:c r="D13" s="8" t="str">
        <x:v>00283983.stl</x:v>
      </x:c>
      <x:c r="E13" s="2" t="str"/>
      <x:c r="F13" s="2" t="str">
        <x:v>exhausted</x:v>
      </x:c>
      <x:c r="G13" s="12" t="n">
        <x:v>1</x:v>
      </x:c>
      <x:c r="H13" s="9" t="n">
        <x:v>0.7413809364928198</x:v>
      </x:c>
      <x:c r="I13" s="9" t="n">
        <x:v>0.8911221187462608</x:v>
      </x:c>
      <x:c r="J13" s="13" t="n">
        <x:v>1</x:v>
      </x:c>
      <x:c r="K13" s="13" t="n">
        <x:v>5</x:v>
      </x:c>
      <x:c r="L13" s="13" t="n">
        <x:v>45421</x:v>
      </x:c>
      <x:c r="M13" s="10" t="n">
        <x:v>0.011461235</x:v>
      </x:c>
      <x:c r="N13" s="11" t="n">
        <x:v>188.64912108300243</x:v>
      </x:c>
      <x:c r="O13" s="2" t="str"/>
      <x:c r="P13" s="2" t="str">
        <x:v>max_iterations</x:v>
      </x:c>
      <x:c r="Q13" s="2" t="str">
        <x:v>68e4277f6d857574a6a39352794939ceff389d2780d37f8cabad29db91041cd9</x:v>
      </x:c>
      <x:c r="R13" s="9" t="n">
        <x:f>IF(G13=1,IF(ISNUMBER(H13),H13,0),"")</x:f>
        <x:v>0.7413809364928198</x:v>
      </x:c>
      <x:c r="S13" s="9" t="n">
        <x:f>IF(G13=1,IF(ISNUMBER(I13),I13,0),"")</x:f>
        <x:v>0.8911221187462608</x:v>
      </x:c>
      <x:c r="T13" s="12" t="n">
        <x:f>IF(G13=1,IF(S13&gt;=0.9,1,0),0)</x:f>
        <x:v>0</x:v>
      </x:c>
      <x:c r="U13" s="12" t="n">
        <x:f>IF(G13=1,IF(S13&gt;R13+0.000001,1,0),0)</x:f>
        <x:v>1</x:v>
      </x:c>
    </x:row>
    <x:row r="14" ht="15" hidden="0" customHeight="1">
      <x:c r="A14" s="2" t="str">
        <x:v>deepcad</x:v>
      </x:c>
      <x:c r="B14" s="12" t="n">
        <x:v>1</x:v>
      </x:c>
      <x:c r="C14" s="2" t="str">
        <x:v>3376e6b0a71b3a98</x:v>
      </x:c>
      <x:c r="D14" s="8" t="str">
        <x:v>00480799.stl</x:v>
      </x:c>
      <x:c r="E14" s="2" t="str"/>
      <x:c r="F14" s="2" t="str">
        <x:v>stalled</x:v>
      </x:c>
      <x:c r="G14" s="12" t="n">
        <x:v>1</x:v>
      </x:c>
      <x:c r="H14" s="9"/>
      <x:c r="I14" s="9" t="n">
        <x:v>0.5945436633246742</x:v>
      </x:c>
      <x:c r="J14" s="13" t="n">
        <x:v>1</x:v>
      </x:c>
      <x:c r="K14" s="13" t="n">
        <x:v>5</x:v>
      </x:c>
      <x:c r="L14" s="13" t="n">
        <x:v>43638</x:v>
      </x:c>
      <x:c r="M14" s="10" t="n">
        <x:v>0.011279015</x:v>
      </x:c>
      <x:c r="N14" s="11" t="n">
        <x:v>182.2258574590031</x:v>
      </x:c>
      <x:c r="O14" s="2" t="str"/>
      <x:c r="P14" s="2" t="str">
        <x:v>no_improvement</x:v>
      </x:c>
      <x:c r="Q14" s="2" t="str">
        <x:v>975c6c24bbbf7cc5f31eda9e71b2216b29b0ddda53c6dfcd0770227aa4387760</x:v>
      </x:c>
      <x:c r="R14" s="9" t="n">
        <x:f>IF(G14=1,IF(ISNUMBER(H14),H14,0),"")</x:f>
        <x:v>0</x:v>
      </x:c>
      <x:c r="S14" s="9" t="n">
        <x:f>IF(G14=1,IF(ISNUMBER(I14),I14,0),"")</x:f>
        <x:v>0.5945436633246742</x:v>
      </x:c>
      <x:c r="T14" s="12" t="n">
        <x:f>IF(G14=1,IF(S14&gt;=0.9,1,0),0)</x:f>
        <x:v>0</x:v>
      </x:c>
      <x:c r="U14" s="12" t="n">
        <x:f>IF(G14=1,IF(S14&gt;R14+0.000001,1,0),0)</x:f>
        <x:v>1</x:v>
      </x:c>
    </x:row>
    <x:row r="15" ht="15" hidden="0" customHeight="1">
      <x:c r="A15" s="2" t="str">
        <x:v>deepcad</x:v>
      </x:c>
      <x:c r="B15" s="12" t="n">
        <x:v>1</x:v>
      </x:c>
      <x:c r="C15" s="2" t="str">
        <x:v>fe06896782f584a6</x:v>
      </x:c>
      <x:c r="D15" s="8" t="str">
        <x:v>00007648.stl</x:v>
      </x:c>
      <x:c r="E15" s="2" t="str"/>
      <x:c r="F15" s="2" t="str">
        <x:v>stalled</x:v>
      </x:c>
      <x:c r="G15" s="12" t="n">
        <x:v>1</x:v>
      </x:c>
      <x:c r="H15" s="9" t="n">
        <x:v>0.3219120358248491</x:v>
      </x:c>
      <x:c r="I15" s="9" t="n">
        <x:v>0.4677115954459279</x:v>
      </x:c>
      <x:c r="J15" s="13" t="n">
        <x:v>1</x:v>
      </x:c>
      <x:c r="K15" s="13" t="n">
        <x:v>5</x:v>
      </x:c>
      <x:c r="L15" s="13" t="n">
        <x:v>38232</x:v>
      </x:c>
      <x:c r="M15" s="10" t="n">
        <x:v>0.008333235</x:v>
      </x:c>
      <x:c r="N15" s="11" t="n">
        <x:v>134.20474962499378</x:v>
      </x:c>
      <x:c r="O15" s="2" t="str"/>
      <x:c r="P15" s="2" t="str">
        <x:v>no_improvement</x:v>
      </x:c>
      <x:c r="Q15" s="2" t="str">
        <x:v>bf1fade56911e4d1d7d7980ae030121ed6a8625aa75b0626c560762de7c6beef</x:v>
      </x:c>
      <x:c r="R15" s="9" t="n">
        <x:f>IF(G15=1,IF(ISNUMBER(H15),H15,0),"")</x:f>
        <x:v>0.3219120358248491</x:v>
      </x:c>
      <x:c r="S15" s="9" t="n">
        <x:f>IF(G15=1,IF(ISNUMBER(I15),I15,0),"")</x:f>
        <x:v>0.4677115954459279</x:v>
      </x:c>
      <x:c r="T15" s="12" t="n">
        <x:f>IF(G15=1,IF(S15&gt;=0.9,1,0),0)</x:f>
        <x:v>0</x:v>
      </x:c>
      <x:c r="U15" s="12" t="n">
        <x:f>IF(G15=1,IF(S15&gt;R15+0.000001,1,0),0)</x:f>
        <x:v>1</x:v>
      </x:c>
    </x:row>
    <x:row r="16" ht="15" hidden="0" customHeight="1">
      <x:c r="A16" s="2" t="str">
        <x:v>deepcad</x:v>
      </x:c>
      <x:c r="B16" s="12" t="n">
        <x:v>1</x:v>
      </x:c>
      <x:c r="C16" s="2" t="str">
        <x:v>f65ef4fbada9b3e8</x:v>
      </x:c>
      <x:c r="D16" s="8" t="str">
        <x:v>00354257.stl</x:v>
      </x:c>
      <x:c r="E16" s="2" t="str"/>
      <x:c r="F16" s="2" t="str">
        <x:v>success</x:v>
      </x:c>
      <x:c r="G16" s="12" t="n">
        <x:v>1</x:v>
      </x:c>
      <x:c r="H16" s="9"/>
      <x:c r="I16" s="9" t="n">
        <x:v>0.9267392564739608</x:v>
      </x:c>
      <x:c r="J16" s="13" t="n">
        <x:v>1</x:v>
      </x:c>
      <x:c r="K16" s="13" t="n">
        <x:v>2</x:v>
      </x:c>
      <x:c r="L16" s="13" t="n">
        <x:v>9922</x:v>
      </x:c>
      <x:c r="M16" s="10" t="n">
        <x:v>0.00279569</x:v>
      </x:c>
      <x:c r="N16" s="11" t="n">
        <x:v>49.43612941602047</x:v>
      </x:c>
      <x:c r="O16" s="2" t="str"/>
      <x:c r="P16" s="2" t="str">
        <x:v>target_iou</x:v>
      </x:c>
      <x:c r="Q16" s="2" t="str">
        <x:v>55ed660b11ff7e78bac45d11aa84892bba528773023724c1471960a8d09aa3dd</x:v>
      </x:c>
      <x:c r="R16" s="9" t="n">
        <x:f>IF(G16=1,IF(ISNUMBER(H16),H16,0),"")</x:f>
        <x:v>0</x:v>
      </x:c>
      <x:c r="S16" s="9" t="n">
        <x:f>IF(G16=1,IF(ISNUMBER(I16),I16,0),"")</x:f>
        <x:v>0.9267392564739608</x:v>
      </x:c>
      <x:c r="T16" s="12" t="n">
        <x:f>IF(G16=1,IF(S16&gt;=0.9,1,0),0)</x:f>
        <x:v>1</x:v>
      </x:c>
      <x:c r="U16" s="12" t="n">
        <x:f>IF(G16=1,IF(S16&gt;R16+0.000001,1,0),0)</x:f>
        <x:v>1</x:v>
      </x:c>
    </x:row>
    <x:row r="17" ht="15" hidden="0" customHeight="1">
      <x:c r="A17" s="2" t="str">
        <x:v>deepcad</x:v>
      </x:c>
      <x:c r="B17" s="12" t="n">
        <x:v>1</x:v>
      </x:c>
      <x:c r="C17" s="2" t="str">
        <x:v>454dd98a1d0922ab</x:v>
      </x:c>
      <x:c r="D17" s="8" t="str">
        <x:v>00466196.stl</x:v>
      </x:c>
      <x:c r="E17" s="2" t="str"/>
      <x:c r="F17" s="2" t="str">
        <x:v>success</x:v>
      </x:c>
      <x:c r="G17" s="12" t="n">
        <x:v>1</x:v>
      </x:c>
      <x:c r="H17" s="9" t="n">
        <x:v>0.9934019745641338</x:v>
      </x:c>
      <x:c r="I17" s="9" t="n">
        <x:v>0.9934019745641338</x:v>
      </x:c>
      <x:c r="J17" s="13" t="n">
        <x:v>1</x:v>
      </x:c>
      <x:c r="K17" s="13" t="n">
        <x:v>1</x:v>
      </x:c>
      <x:c r="L17" s="13" t="n">
        <x:v>3265</x:v>
      </x:c>
      <x:c r="M17" s="10" t="n">
        <x:v>0.0008123</x:v>
      </x:c>
      <x:c r="N17" s="11" t="n">
        <x:v>19.722256042006194</x:v>
      </x:c>
      <x:c r="O17" s="2" t="str"/>
      <x:c r="P17" s="2" t="str">
        <x:v>target_iou</x:v>
      </x:c>
      <x:c r="Q17" s="2" t="str">
        <x:v>146bdf7026275456870b210a44c8ed3ad3d5f87e6e03cc66cccdae9c3087a283</x:v>
      </x:c>
      <x:c r="R17" s="9" t="n">
        <x:f>IF(G17=1,IF(ISNUMBER(H17),H17,0),"")</x:f>
        <x:v>0.9934019745641338</x:v>
      </x:c>
      <x:c r="S17" s="9" t="n">
        <x:f>IF(G17=1,IF(ISNUMBER(I17),I17,0),"")</x:f>
        <x:v>0.9934019745641338</x:v>
      </x:c>
      <x:c r="T17" s="12" t="n">
        <x:f>IF(G17=1,IF(S17&gt;=0.9,1,0),0)</x:f>
        <x:v>1</x:v>
      </x:c>
      <x:c r="U17" s="12" t="n">
        <x:f>IF(G17=1,IF(S17&gt;R17+0.000001,1,0),0)</x:f>
        <x:v>0</x:v>
      </x:c>
    </x:row>
    <x:row r="18" ht="15" hidden="0" customHeight="1">
      <x:c r="A18" s="2" t="str">
        <x:v>deepcad</x:v>
      </x:c>
      <x:c r="B18" s="12" t="n">
        <x:v>1</x:v>
      </x:c>
      <x:c r="C18" s="2" t="str">
        <x:v>1543d26acf560209</x:v>
      </x:c>
      <x:c r="D18" s="8" t="str">
        <x:v>00813653.stl</x:v>
      </x:c>
      <x:c r="E18" s="2" t="str"/>
      <x:c r="F18" s="2" t="str">
        <x:v>success</x:v>
      </x:c>
      <x:c r="G18" s="12" t="n">
        <x:v>1</x:v>
      </x:c>
      <x:c r="H18" s="9" t="n">
        <x:v>0.9847102850465494</x:v>
      </x:c>
      <x:c r="I18" s="9" t="n">
        <x:v>0.9847102850465494</x:v>
      </x:c>
      <x:c r="J18" s="13" t="n">
        <x:v>1</x:v>
      </x:c>
      <x:c r="K18" s="13" t="n">
        <x:v>1</x:v>
      </x:c>
      <x:c r="L18" s="13" t="n">
        <x:v>3007</x:v>
      </x:c>
      <x:c r="M18" s="10" t="n">
        <x:v>0.0006833</x:v>
      </x:c>
      <x:c r="N18" s="11" t="n">
        <x:v>16.00211733299971</x:v>
      </x:c>
      <x:c r="O18" s="2" t="str"/>
      <x:c r="P18" s="2" t="str">
        <x:v>target_iou</x:v>
      </x:c>
      <x:c r="Q18" s="2" t="str">
        <x:v>f41e4b0ddc466dee6b8c00339b3a8b4ae61ee640ede6d999f0bb8468c3205a34</x:v>
      </x:c>
      <x:c r="R18" s="9" t="n">
        <x:f>IF(G18=1,IF(ISNUMBER(H18),H18,0),"")</x:f>
        <x:v>0.9847102850465494</x:v>
      </x:c>
      <x:c r="S18" s="9" t="n">
        <x:f>IF(G18=1,IF(ISNUMBER(I18),I18,0),"")</x:f>
        <x:v>0.9847102850465494</x:v>
      </x:c>
      <x:c r="T18" s="12" t="n">
        <x:f>IF(G18=1,IF(S18&gt;=0.9,1,0),0)</x:f>
        <x:v>1</x:v>
      </x:c>
      <x:c r="U18" s="12" t="n">
        <x:f>IF(G18=1,IF(S18&gt;R18+0.000001,1,0),0)</x:f>
        <x:v>0</x:v>
      </x:c>
    </x:row>
    <x:row r="19" ht="15" hidden="0" customHeight="1">
      <x:c r="A19" s="2" t="str">
        <x:v>deepcad</x:v>
      </x:c>
      <x:c r="B19" s="12" t="n">
        <x:v>2</x:v>
      </x:c>
      <x:c r="C19" s="2" t="str">
        <x:v>967a46bd82855d2f</x:v>
      </x:c>
      <x:c r="D19" s="8" t="str">
        <x:v>00714815.stl</x:v>
      </x:c>
      <x:c r="E19" s="2" t="str"/>
      <x:c r="F19" s="2" t="str">
        <x:v>success</x:v>
      </x:c>
      <x:c r="G19" s="12" t="n">
        <x:v>1</x:v>
      </x:c>
      <x:c r="H19" s="9" t="n">
        <x:v>0.8585217583366314</x:v>
      </x:c>
      <x:c r="I19" s="9" t="n">
        <x:v>0.9836805336884971</x:v>
      </x:c>
      <x:c r="J19" s="13" t="n">
        <x:v>1</x:v>
      </x:c>
      <x:c r="K19" s="13" t="n">
        <x:v>3</x:v>
      </x:c>
      <x:c r="L19" s="13" t="n">
        <x:v>23008</x:v>
      </x:c>
      <x:c r="M19" s="10" t="n">
        <x:v>0.00585833</x:v>
      </x:c>
      <x:c r="N19" s="11" t="n">
        <x:v>99.42590533299756</x:v>
      </x:c>
      <x:c r="O19" s="2" t="str"/>
      <x:c r="P19" s="2" t="str">
        <x:v>target_iou</x:v>
      </x:c>
      <x:c r="Q19" s="2" t="str">
        <x:v>2a15f6b170e323638d55800dafb069469f3b7501b38cc83417f4fc4f8486b663</x:v>
      </x:c>
      <x:c r="R19" s="9" t="n">
        <x:f>IF(G19=1,IF(ISNUMBER(H19),H19,0),"")</x:f>
        <x:v>0.8585217583366314</x:v>
      </x:c>
      <x:c r="S19" s="9" t="n">
        <x:f>IF(G19=1,IF(ISNUMBER(I19),I19,0),"")</x:f>
        <x:v>0.9836805336884971</x:v>
      </x:c>
      <x:c r="T19" s="12" t="n">
        <x:f>IF(G19=1,IF(S19&gt;=0.9,1,0),0)</x:f>
        <x:v>1</x:v>
      </x:c>
      <x:c r="U19" s="12" t="n">
        <x:f>IF(G19=1,IF(S19&gt;R19+0.000001,1,0),0)</x:f>
        <x:v>1</x:v>
      </x:c>
    </x:row>
    <x:row r="20" ht="15" hidden="0" customHeight="1">
      <x:c r="A20" s="2" t="str">
        <x:v>deepcad</x:v>
      </x:c>
      <x:c r="B20" s="12" t="n">
        <x:v>2</x:v>
      </x:c>
      <x:c r="C20" s="2" t="str">
        <x:v>cc79eaafb34a73c5</x:v>
      </x:c>
      <x:c r="D20" s="8" t="str">
        <x:v>00907049.stl</x:v>
      </x:c>
      <x:c r="E20" s="2" t="str"/>
      <x:c r="F20" s="2" t="str">
        <x:v>success</x:v>
      </x:c>
      <x:c r="G20" s="12" t="n">
        <x:v>1</x:v>
      </x:c>
      <x:c r="H20" s="9" t="n">
        <x:v>0.8377752453481988</x:v>
      </x:c>
      <x:c r="I20" s="9" t="n">
        <x:v>0.9074911438937794</x:v>
      </x:c>
      <x:c r="J20" s="13" t="n">
        <x:v>1</x:v>
      </x:c>
      <x:c r="K20" s="13" t="n">
        <x:v>5</x:v>
      </x:c>
      <x:c r="L20" s="13" t="n">
        <x:v>47157</x:v>
      </x:c>
      <x:c r="M20" s="10" t="n">
        <x:v>0.010899735</x:v>
      </x:c>
      <x:c r="N20" s="11" t="n">
        <x:v>164.1860270409945</x:v>
      </x:c>
      <x:c r="O20" s="2" t="str"/>
      <x:c r="P20" s="2" t="str">
        <x:v>target_iou</x:v>
      </x:c>
      <x:c r="Q20" s="2" t="str">
        <x:v>6991f1eb5e645613c0e5158161a105c355200338f2c558625c020902657890d3</x:v>
      </x:c>
      <x:c r="R20" s="9" t="n">
        <x:f>IF(G20=1,IF(ISNUMBER(H20),H20,0),"")</x:f>
        <x:v>0.8377752453481988</x:v>
      </x:c>
      <x:c r="S20" s="9" t="n">
        <x:f>IF(G20=1,IF(ISNUMBER(I20),I20,0),"")</x:f>
        <x:v>0.9074911438937794</x:v>
      </x:c>
      <x:c r="T20" s="12" t="n">
        <x:f>IF(G20=1,IF(S20&gt;=0.9,1,0),0)</x:f>
        <x:v>1</x:v>
      </x:c>
      <x:c r="U20" s="12" t="n">
        <x:f>IF(G20=1,IF(S20&gt;R20+0.000001,1,0),0)</x:f>
        <x:v>1</x:v>
      </x:c>
    </x:row>
    <x:row r="21" ht="15" hidden="0" customHeight="1">
      <x:c r="A21" s="2" t="str">
        <x:v>deepcad</x:v>
      </x:c>
      <x:c r="B21" s="12" t="n">
        <x:v>2</x:v>
      </x:c>
      <x:c r="C21" s="2" t="str">
        <x:v>0863599084984129</x:v>
      </x:c>
      <x:c r="D21" s="8" t="str">
        <x:v>00732437.stl</x:v>
      </x:c>
      <x:c r="E21" s="2" t="str"/>
      <x:c r="F21" s="2" t="str">
        <x:v>success</x:v>
      </x:c>
      <x:c r="G21" s="12" t="n">
        <x:v>1</x:v>
      </x:c>
      <x:c r="H21" s="9" t="n">
        <x:v>0.9963981911436911</x:v>
      </x:c>
      <x:c r="I21" s="9" t="n">
        <x:v>0.9963981911436911</x:v>
      </x:c>
      <x:c r="J21" s="13" t="n">
        <x:v>1</x:v>
      </x:c>
      <x:c r="K21" s="13" t="n">
        <x:v>1</x:v>
      </x:c>
      <x:c r="L21" s="13" t="n">
        <x:v>5721</x:v>
      </x:c>
      <x:c r="M21" s="10" t="n">
        <x:v>0.0020418</x:v>
      </x:c>
      <x:c r="N21" s="11" t="n">
        <x:v>35.16364316599758</x:v>
      </x:c>
      <x:c r="O21" s="2" t="str"/>
      <x:c r="P21" s="2" t="str">
        <x:v>target_iou</x:v>
      </x:c>
      <x:c r="Q21" s="2" t="str">
        <x:v>005a8c39646f9a97a20d575978ce31f30f7903f841c42a23b6a1eb89f5e008d9</x:v>
      </x:c>
      <x:c r="R21" s="9" t="n">
        <x:f>IF(G21=1,IF(ISNUMBER(H21),H21,0),"")</x:f>
        <x:v>0.9963981911436911</x:v>
      </x:c>
      <x:c r="S21" s="9" t="n">
        <x:f>IF(G21=1,IF(ISNUMBER(I21),I21,0),"")</x:f>
        <x:v>0.9963981911436911</x:v>
      </x:c>
      <x:c r="T21" s="12" t="n">
        <x:f>IF(G21=1,IF(S21&gt;=0.9,1,0),0)</x:f>
        <x:v>1</x:v>
      </x:c>
      <x:c r="U21" s="12" t="n">
        <x:f>IF(G21=1,IF(S21&gt;R21+0.000001,1,0),0)</x:f>
        <x:v>0</x:v>
      </x:c>
    </x:row>
    <x:row r="22" ht="15" hidden="0" customHeight="1">
      <x:c r="A22" s="2" t="str">
        <x:v>deepcad</x:v>
      </x:c>
      <x:c r="B22" s="12" t="n">
        <x:v>2</x:v>
      </x:c>
      <x:c r="C22" s="2" t="str">
        <x:v>96d56c68e7de9c41</x:v>
      </x:c>
      <x:c r="D22" s="8" t="str">
        <x:v>00229827.stl</x:v>
      </x:c>
      <x:c r="E22" s="2" t="str"/>
      <x:c r="F22" s="2" t="str">
        <x:v>success</x:v>
      </x:c>
      <x:c r="G22" s="12" t="n">
        <x:v>1</x:v>
      </x:c>
      <x:c r="H22" s="9" t="n">
        <x:v>0.9923890534382075</x:v>
      </x:c>
      <x:c r="I22" s="9" t="n">
        <x:v>0.9923890534382075</x:v>
      </x:c>
      <x:c r="J22" s="13" t="n">
        <x:v>1</x:v>
      </x:c>
      <x:c r="K22" s="13" t="n">
        <x:v>1</x:v>
      </x:c>
      <x:c r="L22" s="13" t="n">
        <x:v>2716</x:v>
      </x:c>
      <x:c r="M22" s="10" t="n">
        <x:v>0.0005378</x:v>
      </x:c>
      <x:c r="N22" s="11" t="n">
        <x:v>10.613057165998267</x:v>
      </x:c>
      <x:c r="O22" s="2" t="str"/>
      <x:c r="P22" s="2" t="str">
        <x:v>target_iou</x:v>
      </x:c>
      <x:c r="Q22" s="2" t="str">
        <x:v>a95f4264bee9a92005f62e79550ccfa6fe95fadff036b644229fd32c0b55063f</x:v>
      </x:c>
      <x:c r="R22" s="9" t="n">
        <x:f>IF(G22=1,IF(ISNUMBER(H22),H22,0),"")</x:f>
        <x:v>0.9923890534382075</x:v>
      </x:c>
      <x:c r="S22" s="9" t="n">
        <x:f>IF(G22=1,IF(ISNUMBER(I22),I22,0),"")</x:f>
        <x:v>0.9923890534382075</x:v>
      </x:c>
      <x:c r="T22" s="12" t="n">
        <x:f>IF(G22=1,IF(S22&gt;=0.9,1,0),0)</x:f>
        <x:v>1</x:v>
      </x:c>
      <x:c r="U22" s="12" t="n">
        <x:f>IF(G22=1,IF(S22&gt;R22+0.000001,1,0),0)</x:f>
        <x:v>0</x:v>
      </x:c>
    </x:row>
    <x:row r="23" ht="15" hidden="0" customHeight="1">
      <x:c r="A23" s="2" t="str">
        <x:v>deepcad</x:v>
      </x:c>
      <x:c r="B23" s="12" t="n">
        <x:v>2</x:v>
      </x:c>
      <x:c r="C23" s="2" t="str">
        <x:v>26f58c206980f734</x:v>
      </x:c>
      <x:c r="D23" s="8" t="str">
        <x:v>00937550.stl</x:v>
      </x:c>
      <x:c r="E23" s="2" t="str"/>
      <x:c r="F23" s="2" t="str">
        <x:v>success</x:v>
      </x:c>
      <x:c r="G23" s="12" t="n">
        <x:v>1</x:v>
      </x:c>
      <x:c r="H23" s="9" t="n">
        <x:v>0.5002942010926658</x:v>
      </x:c>
      <x:c r="I23" s="9" t="n">
        <x:v>0.9568788572202783</x:v>
      </x:c>
      <x:c r="J23" s="13" t="n">
        <x:v>1</x:v>
      </x:c>
      <x:c r="K23" s="13" t="n">
        <x:v>3</x:v>
      </x:c>
      <x:c r="L23" s="13" t="n">
        <x:v>26773</x:v>
      </x:c>
      <x:c r="M23" s="10" t="n">
        <x:v>0.007261205</x:v>
      </x:c>
      <x:c r="N23" s="11" t="n">
        <x:v>120.47079454200669</x:v>
      </x:c>
      <x:c r="O23" s="2" t="str"/>
      <x:c r="P23" s="2" t="str">
        <x:v>target_iou</x:v>
      </x:c>
      <x:c r="Q23" s="2" t="str">
        <x:v>a53bb7467318d4d5197e583a83090c1cb483ab640f194468d87c9cba04cf5911</x:v>
      </x:c>
      <x:c r="R23" s="9" t="n">
        <x:f>IF(G23=1,IF(ISNUMBER(H23),H23,0),"")</x:f>
        <x:v>0.5002942010926658</x:v>
      </x:c>
      <x:c r="S23" s="9" t="n">
        <x:f>IF(G23=1,IF(ISNUMBER(I23),I23,0),"")</x:f>
        <x:v>0.9568788572202783</x:v>
      </x:c>
      <x:c r="T23" s="12" t="n">
        <x:f>IF(G23=1,IF(S23&gt;=0.9,1,0),0)</x:f>
        <x:v>1</x:v>
      </x:c>
      <x:c r="U23" s="12" t="n">
        <x:f>IF(G23=1,IF(S23&gt;R23+0.000001,1,0),0)</x:f>
        <x:v>1</x:v>
      </x:c>
    </x:row>
    <x:row r="24" ht="15" hidden="0" customHeight="1">
      <x:c r="A24" s="2" t="str">
        <x:v>deepcad</x:v>
      </x:c>
      <x:c r="B24" s="12" t="n">
        <x:v>2</x:v>
      </x:c>
      <x:c r="C24" s="2" t="str">
        <x:v>87738b1ce7134aa8</x:v>
      </x:c>
      <x:c r="D24" s="8" t="str">
        <x:v>00242465.stl</x:v>
      </x:c>
      <x:c r="E24" s="2" t="str"/>
      <x:c r="F24" s="2" t="str">
        <x:v>success</x:v>
      </x:c>
      <x:c r="G24" s="12" t="n">
        <x:v>1</x:v>
      </x:c>
      <x:c r="H24" s="9" t="n">
        <x:v>0.9962675872203485</x:v>
      </x:c>
      <x:c r="I24" s="9" t="n">
        <x:v>0.9962675872203485</x:v>
      </x:c>
      <x:c r="J24" s="13" t="n">
        <x:v>1</x:v>
      </x:c>
      <x:c r="K24" s="13" t="n">
        <x:v>1</x:v>
      </x:c>
      <x:c r="L24" s="13" t="n">
        <x:v>2837</x:v>
      </x:c>
      <x:c r="M24" s="10" t="n">
        <x:v>0.0005998</x:v>
      </x:c>
      <x:c r="N24" s="11" t="n">
        <x:v>11.935519167006133</x:v>
      </x:c>
      <x:c r="O24" s="2" t="str"/>
      <x:c r="P24" s="2" t="str">
        <x:v>target_iou</x:v>
      </x:c>
      <x:c r="Q24" s="2" t="str">
        <x:v>7edb700e92599f77e3654227f909d167f381da20140ea655c078c5fb68351363</x:v>
      </x:c>
      <x:c r="R24" s="9" t="n">
        <x:f>IF(G24=1,IF(ISNUMBER(H24),H24,0),"")</x:f>
        <x:v>0.9962675872203485</x:v>
      </x:c>
      <x:c r="S24" s="9" t="n">
        <x:f>IF(G24=1,IF(ISNUMBER(I24),I24,0),"")</x:f>
        <x:v>0.9962675872203485</x:v>
      </x:c>
      <x:c r="T24" s="12" t="n">
        <x:f>IF(G24=1,IF(S24&gt;=0.9,1,0),0)</x:f>
        <x:v>1</x:v>
      </x:c>
      <x:c r="U24" s="12" t="n">
        <x:f>IF(G24=1,IF(S24&gt;R24+0.000001,1,0),0)</x:f>
        <x:v>0</x:v>
      </x:c>
    </x:row>
    <x:row r="25" ht="15" hidden="0" customHeight="1">
      <x:c r="A25" s="2" t="str">
        <x:v>deepcad</x:v>
      </x:c>
      <x:c r="B25" s="12" t="n">
        <x:v>2</x:v>
      </x:c>
      <x:c r="C25" s="2" t="str">
        <x:v>db5574917a1b180e</x:v>
      </x:c>
      <x:c r="D25" s="8" t="str">
        <x:v>00592053.stl</x:v>
      </x:c>
      <x:c r="E25" s="2" t="str"/>
      <x:c r="F25" s="2" t="str">
        <x:v>success</x:v>
      </x:c>
      <x:c r="G25" s="12" t="n">
        <x:v>1</x:v>
      </x:c>
      <x:c r="H25" s="9" t="n">
        <x:v>0.9192685603678517</x:v>
      </x:c>
      <x:c r="I25" s="9" t="n">
        <x:v>0.9192685603678517</x:v>
      </x:c>
      <x:c r="J25" s="13" t="n">
        <x:v>1</x:v>
      </x:c>
      <x:c r="K25" s="13" t="n">
        <x:v>1</x:v>
      </x:c>
      <x:c r="L25" s="13" t="n">
        <x:v>5251</x:v>
      </x:c>
      <x:c r="M25" s="10" t="n">
        <x:v>0.0018053</x:v>
      </x:c>
      <x:c r="N25" s="11" t="n">
        <x:v>35.66375979100063</x:v>
      </x:c>
      <x:c r="O25" s="2" t="str"/>
      <x:c r="P25" s="2" t="str">
        <x:v>target_iou</x:v>
      </x:c>
      <x:c r="Q25" s="2" t="str">
        <x:v>d225cc0f7f6df6db9cd9c8f2ecf7e41f515182d08dfa947a4a4b0d7861b67353</x:v>
      </x:c>
      <x:c r="R25" s="9" t="n">
        <x:f>IF(G25=1,IF(ISNUMBER(H25),H25,0),"")</x:f>
        <x:v>0.9192685603678517</x:v>
      </x:c>
      <x:c r="S25" s="9" t="n">
        <x:f>IF(G25=1,IF(ISNUMBER(I25),I25,0),"")</x:f>
        <x:v>0.9192685603678517</x:v>
      </x:c>
      <x:c r="T25" s="12" t="n">
        <x:f>IF(G25=1,IF(S25&gt;=0.9,1,0),0)</x:f>
        <x:v>1</x:v>
      </x:c>
      <x:c r="U25" s="12" t="n">
        <x:f>IF(G25=1,IF(S25&gt;R25+0.000001,1,0),0)</x:f>
        <x:v>0</x:v>
      </x:c>
    </x:row>
    <x:row r="26" ht="15" hidden="0" customHeight="1">
      <x:c r="A26" s="2" t="str">
        <x:v>deepcad</x:v>
      </x:c>
      <x:c r="B26" s="12" t="n">
        <x:v>2</x:v>
      </x:c>
      <x:c r="C26" s="2" t="str">
        <x:v>5a9c93b9de212fb3</x:v>
      </x:c>
      <x:c r="D26" s="8" t="str">
        <x:v>00552239.stl</x:v>
      </x:c>
      <x:c r="E26" s="2" t="str"/>
      <x:c r="F26" s="2" t="str">
        <x:v>success</x:v>
      </x:c>
      <x:c r="G26" s="12" t="n">
        <x:v>1</x:v>
      </x:c>
      <x:c r="H26" s="9" t="n">
        <x:v>0.9999999365190142</x:v>
      </x:c>
      <x:c r="I26" s="9" t="n">
        <x:v>0.9999999365190142</x:v>
      </x:c>
      <x:c r="J26" s="13" t="n">
        <x:v>1</x:v>
      </x:c>
      <x:c r="K26" s="13" t="n">
        <x:v>1</x:v>
      </x:c>
      <x:c r="L26" s="13" t="n">
        <x:v>2781</x:v>
      </x:c>
      <x:c r="M26" s="10" t="n">
        <x:v>0.00057255</x:v>
      </x:c>
      <x:c r="N26" s="11" t="n">
        <x:v>10.976302916002926</x:v>
      </x:c>
      <x:c r="O26" s="2" t="str"/>
      <x:c r="P26" s="2" t="str">
        <x:v>target_iou</x:v>
      </x:c>
      <x:c r="Q26" s="2" t="str">
        <x:v>071b5fb17046b369ba19d487115155bd19d71d60286b5699214b7c94f7068e3e</x:v>
      </x:c>
      <x:c r="R26" s="9" t="n">
        <x:f>IF(G26=1,IF(ISNUMBER(H26),H26,0),"")</x:f>
        <x:v>0.9999999365190142</x:v>
      </x:c>
      <x:c r="S26" s="9" t="n">
        <x:f>IF(G26=1,IF(ISNUMBER(I26),I26,0),"")</x:f>
        <x:v>0.9999999365190142</x:v>
      </x:c>
      <x:c r="T26" s="12" t="n">
        <x:f>IF(G26=1,IF(S26&gt;=0.9,1,0),0)</x:f>
        <x:v>1</x:v>
      </x:c>
      <x:c r="U26" s="12" t="n">
        <x:f>IF(G26=1,IF(S26&gt;R26+0.000001,1,0),0)</x:f>
        <x:v>0</x:v>
      </x:c>
    </x:row>
    <x:row r="27" ht="15" hidden="0" customHeight="1">
      <x:c r="A27" s="2" t="str">
        <x:v>deepcad</x:v>
      </x:c>
      <x:c r="B27" s="12" t="n">
        <x:v>2</x:v>
      </x:c>
      <x:c r="C27" s="2" t="str">
        <x:v>801607aac3b6574d</x:v>
      </x:c>
      <x:c r="D27" s="8" t="str">
        <x:v>00212409.stl</x:v>
      </x:c>
      <x:c r="E27" s="2" t="str"/>
      <x:c r="F27" s="2" t="str">
        <x:v>stalled</x:v>
      </x:c>
      <x:c r="G27" s="12" t="n">
        <x:v>1</x:v>
      </x:c>
      <x:c r="H27" s="9" t="n">
        <x:v>0.8420684290063601</x:v>
      </x:c>
      <x:c r="I27" s="9" t="n">
        <x:v>0.8420684290063601</x:v>
      </x:c>
      <x:c r="J27" s="13" t="n">
        <x:v>1</x:v>
      </x:c>
      <x:c r="K27" s="13" t="n">
        <x:v>4</x:v>
      </x:c>
      <x:c r="L27" s="13" t="n">
        <x:v>36298</x:v>
      </x:c>
      <x:c r="M27" s="10" t="n">
        <x:v>0.00928847</x:v>
      </x:c>
      <x:c r="N27" s="11" t="n">
        <x:v>156.967103457993</x:v>
      </x:c>
      <x:c r="O27" s="2" t="str"/>
      <x:c r="P27" s="2" t="str">
        <x:v>no_improvement</x:v>
      </x:c>
      <x:c r="Q27" s="2" t="str">
        <x:v>4f611d59843e50889f241379f50de2690be23c405fd29dfc5ce3f912d728ca5a</x:v>
      </x:c>
      <x:c r="R27" s="9" t="n">
        <x:f>IF(G27=1,IF(ISNUMBER(H27),H27,0),"")</x:f>
        <x:v>0.8420684290063601</x:v>
      </x:c>
      <x:c r="S27" s="9" t="n">
        <x:f>IF(G27=1,IF(ISNUMBER(I27),I27,0),"")</x:f>
        <x:v>0.8420684290063601</x:v>
      </x:c>
      <x:c r="T27" s="12" t="n">
        <x:f>IF(G27=1,IF(S27&gt;=0.9,1,0),0)</x:f>
        <x:v>0</x:v>
      </x:c>
      <x:c r="U27" s="12" t="n">
        <x:f>IF(G27=1,IF(S27&gt;R27+0.000001,1,0),0)</x:f>
        <x:v>0</x:v>
      </x:c>
    </x:row>
    <x:row r="28" ht="15" hidden="0" customHeight="1">
      <x:c r="A28" s="2" t="str">
        <x:v>deepcad</x:v>
      </x:c>
      <x:c r="B28" s="12" t="n">
        <x:v>2</x:v>
      </x:c>
      <x:c r="C28" s="2" t="str">
        <x:v>0cad58a32ea3c4e9</x:v>
      </x:c>
      <x:c r="D28" s="8" t="str">
        <x:v>00949686.stl</x:v>
      </x:c>
      <x:c r="E28" s="2" t="str"/>
      <x:c r="F28" s="2" t="str">
        <x:v>success</x:v>
      </x:c>
      <x:c r="G28" s="12" t="n">
        <x:v>1</x:v>
      </x:c>
      <x:c r="H28" s="9" t="n">
        <x:v>0.9033902298880573</x:v>
      </x:c>
      <x:c r="I28" s="9" t="n">
        <x:v>0.9033902298880573</x:v>
      </x:c>
      <x:c r="J28" s="13" t="n">
        <x:v>1</x:v>
      </x:c>
      <x:c r="K28" s="13" t="n">
        <x:v>1</x:v>
      </x:c>
      <x:c r="L28" s="13" t="n">
        <x:v>4959</x:v>
      </x:c>
      <x:c r="M28" s="10" t="n">
        <x:v>0.0016593</x:v>
      </x:c>
      <x:c r="N28" s="11" t="n">
        <x:v>31.24973612500378</x:v>
      </x:c>
      <x:c r="O28" s="2" t="str"/>
      <x:c r="P28" s="2" t="str">
        <x:v>target_iou</x:v>
      </x:c>
      <x:c r="Q28" s="2" t="str">
        <x:v>f92e0de345fd4b34e44f8eebcc7eb00a50e9d0f7872caa728e1f37751c32a06b</x:v>
      </x:c>
      <x:c r="R28" s="9" t="n">
        <x:f>IF(G28=1,IF(ISNUMBER(H28),H28,0),"")</x:f>
        <x:v>0.9033902298880573</x:v>
      </x:c>
      <x:c r="S28" s="9" t="n">
        <x:f>IF(G28=1,IF(ISNUMBER(I28),I28,0),"")</x:f>
        <x:v>0.9033902298880573</x:v>
      </x:c>
      <x:c r="T28" s="12" t="n">
        <x:f>IF(G28=1,IF(S28&gt;=0.9,1,0),0)</x:f>
        <x:v>1</x:v>
      </x:c>
      <x:c r="U28" s="12" t="n">
        <x:f>IF(G28=1,IF(S28&gt;R28+0.000001,1,0),0)</x:f>
        <x:v>0</x:v>
      </x:c>
    </x:row>
    <x:row r="29" ht="15" hidden="0" customHeight="1">
      <x:c r="A29" s="2" t="str">
        <x:v>deepcad</x:v>
      </x:c>
      <x:c r="B29" s="12" t="n">
        <x:v>2</x:v>
      </x:c>
      <x:c r="C29" s="2" t="str">
        <x:v>8999ab4eb92d0398</x:v>
      </x:c>
      <x:c r="D29" s="8" t="str">
        <x:v>00347457.stl</x:v>
      </x:c>
      <x:c r="E29" s="2" t="str"/>
      <x:c r="F29" s="2" t="str">
        <x:v>success</x:v>
      </x:c>
      <x:c r="G29" s="12" t="n">
        <x:v>1</x:v>
      </x:c>
      <x:c r="H29" s="9" t="n">
        <x:v>0.9008721549798382</x:v>
      </x:c>
      <x:c r="I29" s="9" t="n">
        <x:v>0.9008721549798382</x:v>
      </x:c>
      <x:c r="J29" s="13" t="n">
        <x:v>1</x:v>
      </x:c>
      <x:c r="K29" s="13" t="n">
        <x:v>1</x:v>
      </x:c>
      <x:c r="L29" s="13" t="n">
        <x:v>4098</x:v>
      </x:c>
      <x:c r="M29" s="10" t="n">
        <x:v>0.0012288</x:v>
      </x:c>
      <x:c r="N29" s="11" t="n">
        <x:v>27.349328708003274</x:v>
      </x:c>
      <x:c r="O29" s="2" t="str"/>
      <x:c r="P29" s="2" t="str">
        <x:v>target_iou</x:v>
      </x:c>
      <x:c r="Q29" s="2" t="str">
        <x:v>569f5ad19e2049a3157f4302c689463b9599a3530946aa83ac4c659f16f6b44d</x:v>
      </x:c>
      <x:c r="R29" s="9" t="n">
        <x:f>IF(G29=1,IF(ISNUMBER(H29),H29,0),"")</x:f>
        <x:v>0.9008721549798382</x:v>
      </x:c>
      <x:c r="S29" s="9" t="n">
        <x:f>IF(G29=1,IF(ISNUMBER(I29),I29,0),"")</x:f>
        <x:v>0.9008721549798382</x:v>
      </x:c>
      <x:c r="T29" s="12" t="n">
        <x:f>IF(G29=1,IF(S29&gt;=0.9,1,0),0)</x:f>
        <x:v>1</x:v>
      </x:c>
      <x:c r="U29" s="12" t="n">
        <x:f>IF(G29=1,IF(S29&gt;R29+0.000001,1,0),0)</x:f>
        <x:v>0</x:v>
      </x:c>
    </x:row>
    <x:row r="30" ht="15" hidden="0" customHeight="1">
      <x:c r="A30" s="2" t="str">
        <x:v>deepcad</x:v>
      </x:c>
      <x:c r="B30" s="12" t="n">
        <x:v>2</x:v>
      </x:c>
      <x:c r="C30" s="2" t="str">
        <x:v>7caf1068ba1b7b0c</x:v>
      </x:c>
      <x:c r="D30" s="8" t="str">
        <x:v>00663730.stl</x:v>
      </x:c>
      <x:c r="E30" s="2" t="str"/>
      <x:c r="F30" s="2" t="str">
        <x:v>success</x:v>
      </x:c>
      <x:c r="G30" s="12" t="n">
        <x:v>1</x:v>
      </x:c>
      <x:c r="H30" s="9" t="n">
        <x:v>0.8978945078862096</x:v>
      </x:c>
      <x:c r="I30" s="9" t="n">
        <x:v>0.9930481519829147</x:v>
      </x:c>
      <x:c r="J30" s="13" t="n">
        <x:v>1</x:v>
      </x:c>
      <x:c r="K30" s="13" t="n">
        <x:v>3</x:v>
      </x:c>
      <x:c r="L30" s="13" t="n">
        <x:v>22036</x:v>
      </x:c>
      <x:c r="M30" s="10" t="n">
        <x:v>0.00548858</x:v>
      </x:c>
      <x:c r="N30" s="11" t="n">
        <x:v>94.02577037599939</x:v>
      </x:c>
      <x:c r="O30" s="2" t="str"/>
      <x:c r="P30" s="2" t="str">
        <x:v>target_iou</x:v>
      </x:c>
      <x:c r="Q30" s="2" t="str">
        <x:v>bbe1e75b3b985c25705427231244f75c677d408ad99b45b67d262f2de1d716c0</x:v>
      </x:c>
      <x:c r="R30" s="9" t="n">
        <x:f>IF(G30=1,IF(ISNUMBER(H30),H30,0),"")</x:f>
        <x:v>0.8978945078862096</x:v>
      </x:c>
      <x:c r="S30" s="9" t="n">
        <x:f>IF(G30=1,IF(ISNUMBER(I30),I30,0),"")</x:f>
        <x:v>0.9930481519829147</x:v>
      </x:c>
      <x:c r="T30" s="12" t="n">
        <x:f>IF(G30=1,IF(S30&gt;=0.9,1,0),0)</x:f>
        <x:v>1</x:v>
      </x:c>
      <x:c r="U30" s="12" t="n">
        <x:f>IF(G30=1,IF(S30&gt;R30+0.000001,1,0),0)</x:f>
        <x:v>1</x:v>
      </x:c>
    </x:row>
    <x:row r="31" ht="15" hidden="0" customHeight="1">
      <x:c r="A31" s="2" t="str">
        <x:v>deepcad</x:v>
      </x:c>
      <x:c r="B31" s="12" t="n">
        <x:v>2</x:v>
      </x:c>
      <x:c r="C31" s="2" t="str">
        <x:v>7a47b19b6013f335</x:v>
      </x:c>
      <x:c r="D31" s="8" t="str">
        <x:v>00303133.stl</x:v>
      </x:c>
      <x:c r="E31" s="2" t="str"/>
      <x:c r="F31" s="2" t="str">
        <x:v>success</x:v>
      </x:c>
      <x:c r="G31" s="12" t="n">
        <x:v>1</x:v>
      </x:c>
      <x:c r="H31" s="9" t="n">
        <x:v>0.998103596642626</x:v>
      </x:c>
      <x:c r="I31" s="9" t="n">
        <x:v>0.998103596642626</x:v>
      </x:c>
      <x:c r="J31" s="13" t="n">
        <x:v>1</x:v>
      </x:c>
      <x:c r="K31" s="13" t="n">
        <x:v>1</x:v>
      </x:c>
      <x:c r="L31" s="13" t="n">
        <x:v>3735</x:v>
      </x:c>
      <x:c r="M31" s="10" t="n">
        <x:v>0.0010473</x:v>
      </x:c>
      <x:c r="N31" s="11" t="n">
        <x:v>20.260176333006587</x:v>
      </x:c>
      <x:c r="O31" s="2" t="str"/>
      <x:c r="P31" s="2" t="str">
        <x:v>target_iou</x:v>
      </x:c>
      <x:c r="Q31" s="2" t="str">
        <x:v>3bda624fb94cc15a7eaab3c6f11dff56d8d19b2fba163308356f1bc20ba616ed</x:v>
      </x:c>
      <x:c r="R31" s="9" t="n">
        <x:f>IF(G31=1,IF(ISNUMBER(H31),H31,0),"")</x:f>
        <x:v>0.998103596642626</x:v>
      </x:c>
      <x:c r="S31" s="9" t="n">
        <x:f>IF(G31=1,IF(ISNUMBER(I31),I31,0),"")</x:f>
        <x:v>0.998103596642626</x:v>
      </x:c>
      <x:c r="T31" s="12" t="n">
        <x:f>IF(G31=1,IF(S31&gt;=0.9,1,0),0)</x:f>
        <x:v>1</x:v>
      </x:c>
      <x:c r="U31" s="12" t="n">
        <x:f>IF(G31=1,IF(S31&gt;R31+0.000001,1,0),0)</x:f>
        <x:v>0</x:v>
      </x:c>
    </x:row>
    <x:row r="32" ht="15" hidden="0" customHeight="1">
      <x:c r="A32" s="2" t="str">
        <x:v>deepcad</x:v>
      </x:c>
      <x:c r="B32" s="12" t="n">
        <x:v>2</x:v>
      </x:c>
      <x:c r="C32" s="2" t="str">
        <x:v>ef4d58825e90bd63</x:v>
      </x:c>
      <x:c r="D32" s="8" t="str">
        <x:v>00483908.stl</x:v>
      </x:c>
      <x:c r="E32" s="2" t="str"/>
      <x:c r="F32" s="2" t="str">
        <x:v>success</x:v>
      </x:c>
      <x:c r="G32" s="12" t="n">
        <x:v>1</x:v>
      </x:c>
      <x:c r="H32" s="9"/>
      <x:c r="I32" s="9" t="n">
        <x:v>0.9960564675629565</x:v>
      </x:c>
      <x:c r="J32" s="13" t="n">
        <x:v>1</x:v>
      </x:c>
      <x:c r="K32" s="13" t="n">
        <x:v>3</x:v>
      </x:c>
      <x:c r="L32" s="13" t="n">
        <x:v>14249</x:v>
      </x:c>
      <x:c r="M32" s="10" t="n">
        <x:v>0.00249168</x:v>
      </x:c>
      <x:c r="N32" s="11" t="n">
        <x:v>46.82851041600387</x:v>
      </x:c>
      <x:c r="O32" s="2" t="str"/>
      <x:c r="P32" s="2" t="str">
        <x:v>target_iou</x:v>
      </x:c>
      <x:c r="Q32" s="2" t="str">
        <x:v>d246c680a552808de3897db045efc920621198d0f43c7800c512a6f0e9c65bc5</x:v>
      </x:c>
      <x:c r="R32" s="9" t="n">
        <x:f>IF(G32=1,IF(ISNUMBER(H32),H32,0),"")</x:f>
        <x:v>0</x:v>
      </x:c>
      <x:c r="S32" s="9" t="n">
        <x:f>IF(G32=1,IF(ISNUMBER(I32),I32,0),"")</x:f>
        <x:v>0.9960564675629565</x:v>
      </x:c>
      <x:c r="T32" s="12" t="n">
        <x:f>IF(G32=1,IF(S32&gt;=0.9,1,0),0)</x:f>
        <x:v>1</x:v>
      </x:c>
      <x:c r="U32" s="12" t="n">
        <x:f>IF(G32=1,IF(S32&gt;R32+0.000001,1,0),0)</x:f>
        <x:v>1</x:v>
      </x:c>
    </x:row>
    <x:row r="33" ht="15" hidden="0" customHeight="1">
      <x:c r="A33" s="2" t="str">
        <x:v>deepcad</x:v>
      </x:c>
      <x:c r="B33" s="12" t="n">
        <x:v>2</x:v>
      </x:c>
      <x:c r="C33" s="2" t="str">
        <x:v>f5c20e780d646ae8</x:v>
      </x:c>
      <x:c r="D33" s="8" t="str">
        <x:v>00612269.stl</x:v>
      </x:c>
      <x:c r="E33" s="2" t="str"/>
      <x:c r="F33" s="2" t="str">
        <x:v>success</x:v>
      </x:c>
      <x:c r="G33" s="12" t="n">
        <x:v>1</x:v>
      </x:c>
      <x:c r="H33" s="9" t="n">
        <x:v>0.9962074574436317</x:v>
      </x:c>
      <x:c r="I33" s="9" t="n">
        <x:v>0.9962074574436317</x:v>
      </x:c>
      <x:c r="J33" s="13" t="n">
        <x:v>1</x:v>
      </x:c>
      <x:c r="K33" s="13" t="n">
        <x:v>1</x:v>
      </x:c>
      <x:c r="L33" s="13" t="n">
        <x:v>3161</x:v>
      </x:c>
      <x:c r="M33" s="10" t="n">
        <x:v>0.0007603</x:v>
      </x:c>
      <x:c r="N33" s="11" t="n">
        <x:v>16.872314125002127</x:v>
      </x:c>
      <x:c r="O33" s="2" t="str"/>
      <x:c r="P33" s="2" t="str">
        <x:v>target_iou</x:v>
      </x:c>
      <x:c r="Q33" s="2" t="str">
        <x:v>6282e5e7506cab1717a4de5fffa26a5e8df88e4913512bbcd3fe565478fdc9f2</x:v>
      </x:c>
      <x:c r="R33" s="9" t="n">
        <x:f>IF(G33=1,IF(ISNUMBER(H33),H33,0),"")</x:f>
        <x:v>0.9962074574436317</x:v>
      </x:c>
      <x:c r="S33" s="9" t="n">
        <x:f>IF(G33=1,IF(ISNUMBER(I33),I33,0),"")</x:f>
        <x:v>0.9962074574436317</x:v>
      </x:c>
      <x:c r="T33" s="12" t="n">
        <x:f>IF(G33=1,IF(S33&gt;=0.9,1,0),0)</x:f>
        <x:v>1</x:v>
      </x:c>
      <x:c r="U33" s="12" t="n">
        <x:f>IF(G33=1,IF(S33&gt;R33+0.000001,1,0),0)</x:f>
        <x:v>0</x:v>
      </x:c>
    </x:row>
    <x:row r="34" ht="15" hidden="0" customHeight="1">
      <x:c r="A34" s="2" t="str">
        <x:v>deepcad</x:v>
      </x:c>
      <x:c r="B34" s="12" t="n">
        <x:v>3</x:v>
      </x:c>
      <x:c r="C34" s="2" t="str">
        <x:v>f74d7a5dd2910d7f</x:v>
      </x:c>
      <x:c r="D34" s="8" t="str">
        <x:v>00365223.stl</x:v>
      </x:c>
      <x:c r="E34" s="2" t="str"/>
      <x:c r="F34" s="2" t="str">
        <x:v>success</x:v>
      </x:c>
      <x:c r="G34" s="12" t="n">
        <x:v>1</x:v>
      </x:c>
      <x:c r="H34" s="9" t="n">
        <x:v>0.9946859096937075</x:v>
      </x:c>
      <x:c r="I34" s="9" t="n">
        <x:v>0.9946859096937075</x:v>
      </x:c>
      <x:c r="J34" s="13" t="n">
        <x:v>1</x:v>
      </x:c>
      <x:c r="K34" s="13" t="n">
        <x:v>1</x:v>
      </x:c>
      <x:c r="L34" s="13" t="n">
        <x:v>5324</x:v>
      </x:c>
      <x:c r="M34" s="10" t="n">
        <x:v>0.0018418</x:v>
      </x:c>
      <x:c r="N34" s="11" t="n">
        <x:v>32.01725387500809</x:v>
      </x:c>
      <x:c r="O34" s="2" t="str"/>
      <x:c r="P34" s="2" t="str">
        <x:v>target_iou</x:v>
      </x:c>
      <x:c r="Q34" s="2" t="str">
        <x:v>3c18efd535c0c2e17e5379ff61e42ea13e2b3ecd6148d94258efa537139776c1</x:v>
      </x:c>
      <x:c r="R34" s="9" t="n">
        <x:f>IF(G34=1,IF(ISNUMBER(H34),H34,0),"")</x:f>
        <x:v>0.9946859096937075</x:v>
      </x:c>
      <x:c r="S34" s="9" t="n">
        <x:f>IF(G34=1,IF(ISNUMBER(I34),I34,0),"")</x:f>
        <x:v>0.9946859096937075</x:v>
      </x:c>
      <x:c r="T34" s="12" t="n">
        <x:f>IF(G34=1,IF(S34&gt;=0.9,1,0),0)</x:f>
        <x:v>1</x:v>
      </x:c>
      <x:c r="U34" s="12" t="n">
        <x:f>IF(G34=1,IF(S34&gt;R34+0.000001,1,0),0)</x:f>
        <x:v>0</x:v>
      </x:c>
    </x:row>
    <x:row r="35" ht="15" hidden="0" customHeight="1">
      <x:c r="A35" s="2" t="str">
        <x:v>deepcad</x:v>
      </x:c>
      <x:c r="B35" s="12" t="n">
        <x:v>3</x:v>
      </x:c>
      <x:c r="C35" s="2" t="str">
        <x:v>281ecca9bdc038f1</x:v>
      </x:c>
      <x:c r="D35" s="8" t="str">
        <x:v>00387488.stl</x:v>
      </x:c>
      <x:c r="E35" s="2" t="str"/>
      <x:c r="F35" s="2" t="str">
        <x:v>success</x:v>
      </x:c>
      <x:c r="G35" s="12" t="n">
        <x:v>1</x:v>
      </x:c>
      <x:c r="H35" s="9" t="n">
        <x:v>0.986076499661723</x:v>
      </x:c>
      <x:c r="I35" s="9" t="n">
        <x:v>0.986076499661723</x:v>
      </x:c>
      <x:c r="J35" s="13" t="n">
        <x:v>1</x:v>
      </x:c>
      <x:c r="K35" s="13" t="n">
        <x:v>1</x:v>
      </x:c>
      <x:c r="L35" s="13" t="n">
        <x:v>4230</x:v>
      </x:c>
      <x:c r="M35" s="10" t="n">
        <x:v>0.0012948</x:v>
      </x:c>
      <x:c r="N35" s="11" t="n">
        <x:v>25.621736375001376</x:v>
      </x:c>
      <x:c r="O35" s="2" t="str"/>
      <x:c r="P35" s="2" t="str">
        <x:v>target_iou</x:v>
      </x:c>
      <x:c r="Q35" s="2" t="str">
        <x:v>ab26c318bb344f46126e0c99fe96f38d403c98b812d929818c14f7b66c1168dc</x:v>
      </x:c>
      <x:c r="R35" s="9" t="n">
        <x:f>IF(G35=1,IF(ISNUMBER(H35),H35,0),"")</x:f>
        <x:v>0.986076499661723</x:v>
      </x:c>
      <x:c r="S35" s="9" t="n">
        <x:f>IF(G35=1,IF(ISNUMBER(I35),I35,0),"")</x:f>
        <x:v>0.986076499661723</x:v>
      </x:c>
      <x:c r="T35" s="12" t="n">
        <x:f>IF(G35=1,IF(S35&gt;=0.9,1,0),0)</x:f>
        <x:v>1</x:v>
      </x:c>
      <x:c r="U35" s="12" t="n">
        <x:f>IF(G35=1,IF(S35&gt;R35+0.000001,1,0),0)</x:f>
        <x:v>0</x:v>
      </x:c>
    </x:row>
    <x:row r="36" ht="15" hidden="0" customHeight="1">
      <x:c r="A36" s="2" t="str">
        <x:v>deepcad</x:v>
      </x:c>
      <x:c r="B36" s="12" t="n">
        <x:v>3</x:v>
      </x:c>
      <x:c r="C36" s="2" t="str">
        <x:v>d4581f37f91ccfe5</x:v>
      </x:c>
      <x:c r="D36" s="8" t="str">
        <x:v>00963486.stl</x:v>
      </x:c>
      <x:c r="E36" s="2" t="str"/>
      <x:c r="F36" s="2" t="str">
        <x:v>success</x:v>
      </x:c>
      <x:c r="G36" s="12" t="n">
        <x:v>1</x:v>
      </x:c>
      <x:c r="H36" s="9" t="n">
        <x:v>0.9919262704426925</x:v>
      </x:c>
      <x:c r="I36" s="9" t="n">
        <x:v>0.9919262704426925</x:v>
      </x:c>
      <x:c r="J36" s="13" t="n">
        <x:v>1</x:v>
      </x:c>
      <x:c r="K36" s="13" t="n">
        <x:v>1</x:v>
      </x:c>
      <x:c r="L36" s="13" t="n">
        <x:v>5349</x:v>
      </x:c>
      <x:c r="M36" s="10" t="n">
        <x:v>0.0018543</x:v>
      </x:c>
      <x:c r="N36" s="11" t="n">
        <x:v>31.90887845800328</x:v>
      </x:c>
      <x:c r="O36" s="2" t="str"/>
      <x:c r="P36" s="2" t="str">
        <x:v>target_iou</x:v>
      </x:c>
      <x:c r="Q36" s="2" t="str">
        <x:v>1178795139bf76b023d6ac6eca2cbb2ec5719c2b232d0e2e63812ec910537781</x:v>
      </x:c>
      <x:c r="R36" s="9" t="n">
        <x:f>IF(G36=1,IF(ISNUMBER(H36),H36,0),"")</x:f>
        <x:v>0.9919262704426925</x:v>
      </x:c>
      <x:c r="S36" s="9" t="n">
        <x:f>IF(G36=1,IF(ISNUMBER(I36),I36,0),"")</x:f>
        <x:v>0.9919262704426925</x:v>
      </x:c>
      <x:c r="T36" s="12" t="n">
        <x:f>IF(G36=1,IF(S36&gt;=0.9,1,0),0)</x:f>
        <x:v>1</x:v>
      </x:c>
      <x:c r="U36" s="12" t="n">
        <x:f>IF(G36=1,IF(S36&gt;R36+0.000001,1,0),0)</x:f>
        <x:v>0</x:v>
      </x:c>
    </x:row>
    <x:row r="37" ht="15" hidden="0" customHeight="1">
      <x:c r="A37" s="2" t="str">
        <x:v>deepcad</x:v>
      </x:c>
      <x:c r="B37" s="12" t="n">
        <x:v>3</x:v>
      </x:c>
      <x:c r="C37" s="2" t="str">
        <x:v>cc64096f4e881ca9</x:v>
      </x:c>
      <x:c r="D37" s="8" t="str">
        <x:v>00739873.stl</x:v>
      </x:c>
      <x:c r="E37" s="2" t="str"/>
      <x:c r="F37" s="2" t="str">
        <x:v>success</x:v>
      </x:c>
      <x:c r="G37" s="12" t="n">
        <x:v>1</x:v>
      </x:c>
      <x:c r="H37" s="9"/>
      <x:c r="I37" s="9" t="n">
        <x:v>0.9750194397300739</x:v>
      </x:c>
      <x:c r="J37" s="13" t="n">
        <x:v>1</x:v>
      </x:c>
      <x:c r="K37" s="13" t="n">
        <x:v>2</x:v>
      </x:c>
      <x:c r="L37" s="13" t="n">
        <x:v>10725</x:v>
      </x:c>
      <x:c r="M37" s="10" t="n">
        <x:v>0.003330545</x:v>
      </x:c>
      <x:c r="N37" s="11" t="n">
        <x:v>59.452926458997304</x:v>
      </x:c>
      <x:c r="O37" s="2" t="str"/>
      <x:c r="P37" s="2" t="str">
        <x:v>target_iou</x:v>
      </x:c>
      <x:c r="Q37" s="2" t="str">
        <x:v>fb91b4f5f7dba60cd640871c0df2a5038806b7dba0be67984d5f617c56af775e</x:v>
      </x:c>
      <x:c r="R37" s="9" t="n">
        <x:f>IF(G37=1,IF(ISNUMBER(H37),H37,0),"")</x:f>
        <x:v>0</x:v>
      </x:c>
      <x:c r="S37" s="9" t="n">
        <x:f>IF(G37=1,IF(ISNUMBER(I37),I37,0),"")</x:f>
        <x:v>0.9750194397300739</x:v>
      </x:c>
      <x:c r="T37" s="12" t="n">
        <x:f>IF(G37=1,IF(S37&gt;=0.9,1,0),0)</x:f>
        <x:v>1</x:v>
      </x:c>
      <x:c r="U37" s="12" t="n">
        <x:f>IF(G37=1,IF(S37&gt;R37+0.000001,1,0),0)</x:f>
        <x:v>1</x:v>
      </x:c>
    </x:row>
    <x:row r="38" ht="15" hidden="0" customHeight="1">
      <x:c r="A38" s="2" t="str">
        <x:v>deepcad</x:v>
      </x:c>
      <x:c r="B38" s="12" t="n">
        <x:v>3</x:v>
      </x:c>
      <x:c r="C38" s="2" t="str">
        <x:v>ff7dbc036f52d342</x:v>
      </x:c>
      <x:c r="D38" s="8" t="str">
        <x:v>00017160.stl</x:v>
      </x:c>
      <x:c r="E38" s="2" t="str"/>
      <x:c r="F38" s="2" t="str">
        <x:v>success</x:v>
      </x:c>
      <x:c r="G38" s="12" t="n">
        <x:v>1</x:v>
      </x:c>
      <x:c r="H38" s="9" t="n">
        <x:v>0.9141045564921745</x:v>
      </x:c>
      <x:c r="I38" s="9" t="n">
        <x:v>0.9141045564921745</x:v>
      </x:c>
      <x:c r="J38" s="13" t="n">
        <x:v>1</x:v>
      </x:c>
      <x:c r="K38" s="13" t="n">
        <x:v>1</x:v>
      </x:c>
      <x:c r="L38" s="13" t="n">
        <x:v>4950</x:v>
      </x:c>
      <x:c r="M38" s="10" t="n">
        <x:v>0.0016548</x:v>
      </x:c>
      <x:c r="N38" s="11" t="n">
        <x:v>34.632717957992575</x:v>
      </x:c>
      <x:c r="O38" s="2" t="str"/>
      <x:c r="P38" s="2" t="str">
        <x:v>target_iou</x:v>
      </x:c>
      <x:c r="Q38" s="2" t="str">
        <x:v>4fdad1b9a555a5f7e16155bf78a6376665c66047f062cbfb27e9afabeb36e95a</x:v>
      </x:c>
      <x:c r="R38" s="9" t="n">
        <x:f>IF(G38=1,IF(ISNUMBER(H38),H38,0),"")</x:f>
        <x:v>0.9141045564921745</x:v>
      </x:c>
      <x:c r="S38" s="9" t="n">
        <x:f>IF(G38=1,IF(ISNUMBER(I38),I38,0),"")</x:f>
        <x:v>0.9141045564921745</x:v>
      </x:c>
      <x:c r="T38" s="12" t="n">
        <x:f>IF(G38=1,IF(S38&gt;=0.9,1,0),0)</x:f>
        <x:v>1</x:v>
      </x:c>
      <x:c r="U38" s="12" t="n">
        <x:f>IF(G38=1,IF(S38&gt;R38+0.000001,1,0),0)</x:f>
        <x:v>0</x:v>
      </x:c>
    </x:row>
    <x:row r="39" ht="15" hidden="0" customHeight="1">
      <x:c r="A39" s="2" t="str">
        <x:v>deepcad</x:v>
      </x:c>
      <x:c r="B39" s="12" t="n">
        <x:v>3</x:v>
      </x:c>
      <x:c r="C39" s="2" t="str">
        <x:v>0720b81baaebe07b</x:v>
      </x:c>
      <x:c r="D39" s="8" t="str">
        <x:v>00221011.stl</x:v>
      </x:c>
      <x:c r="E39" s="2" t="str"/>
      <x:c r="F39" s="2" t="str">
        <x:v>success</x:v>
      </x:c>
      <x:c r="G39" s="12" t="n">
        <x:v>1</x:v>
      </x:c>
      <x:c r="H39" s="9" t="n">
        <x:v>0.9864268914509486</x:v>
      </x:c>
      <x:c r="I39" s="9" t="n">
        <x:v>0.9864268914509486</x:v>
      </x:c>
      <x:c r="J39" s="13" t="n">
        <x:v>1</x:v>
      </x:c>
      <x:c r="K39" s="13" t="n">
        <x:v>1</x:v>
      </x:c>
      <x:c r="L39" s="13" t="n">
        <x:v>3595</x:v>
      </x:c>
      <x:c r="M39" s="10" t="n">
        <x:v>0.0009773</x:v>
      </x:c>
      <x:c r="N39" s="11" t="n">
        <x:v>18.687290457994795</x:v>
      </x:c>
      <x:c r="O39" s="2" t="str"/>
      <x:c r="P39" s="2" t="str">
        <x:v>target_iou</x:v>
      </x:c>
      <x:c r="Q39" s="2" t="str">
        <x:v>c55d75521dd399a9628b5b4d598f1b0d99d850f03ae8c1a4d738583b4f73e222</x:v>
      </x:c>
      <x:c r="R39" s="9" t="n">
        <x:f>IF(G39=1,IF(ISNUMBER(H39),H39,0),"")</x:f>
        <x:v>0.9864268914509486</x:v>
      </x:c>
      <x:c r="S39" s="9" t="n">
        <x:f>IF(G39=1,IF(ISNUMBER(I39),I39,0),"")</x:f>
        <x:v>0.9864268914509486</x:v>
      </x:c>
      <x:c r="T39" s="12" t="n">
        <x:f>IF(G39=1,IF(S39&gt;=0.9,1,0),0)</x:f>
        <x:v>1</x:v>
      </x:c>
      <x:c r="U39" s="12" t="n">
        <x:f>IF(G39=1,IF(S39&gt;R39+0.000001,1,0),0)</x:f>
        <x:v>0</x:v>
      </x:c>
    </x:row>
    <x:row r="40" ht="15" hidden="0" customHeight="1">
      <x:c r="A40" s="2" t="str">
        <x:v>deepcad</x:v>
      </x:c>
      <x:c r="B40" s="12" t="n">
        <x:v>3</x:v>
      </x:c>
      <x:c r="C40" s="2" t="str">
        <x:v>be2f0d3f50ba7d67</x:v>
      </x:c>
      <x:c r="D40" s="8" t="str">
        <x:v>00282290.stl</x:v>
      </x:c>
      <x:c r="E40" s="2" t="str"/>
      <x:c r="F40" s="2" t="str">
        <x:v>success</x:v>
      </x:c>
      <x:c r="G40" s="12" t="n">
        <x:v>1</x:v>
      </x:c>
      <x:c r="H40" s="9" t="n">
        <x:v>0.9259971907832727</x:v>
      </x:c>
      <x:c r="I40" s="9" t="n">
        <x:v>0.9259971907832727</x:v>
      </x:c>
      <x:c r="J40" s="13" t="n">
        <x:v>1</x:v>
      </x:c>
      <x:c r="K40" s="13" t="n">
        <x:v>1</x:v>
      </x:c>
      <x:c r="L40" s="13" t="n">
        <x:v>3740</x:v>
      </x:c>
      <x:c r="M40" s="10" t="n">
        <x:v>0.0010498</x:v>
      </x:c>
      <x:c r="N40" s="11" t="n">
        <x:v>19.884865083006677</x:v>
      </x:c>
      <x:c r="O40" s="2" t="str"/>
      <x:c r="P40" s="2" t="str">
        <x:v>target_iou</x:v>
      </x:c>
      <x:c r="Q40" s="2" t="str">
        <x:v>337abab1ed8a97eab359b1b112df54bffc1245f939a4f10bb8f760acc4dc43b4</x:v>
      </x:c>
      <x:c r="R40" s="9" t="n">
        <x:f>IF(G40=1,IF(ISNUMBER(H40),H40,0),"")</x:f>
        <x:v>0.9259971907832727</x:v>
      </x:c>
      <x:c r="S40" s="9" t="n">
        <x:f>IF(G40=1,IF(ISNUMBER(I40),I40,0),"")</x:f>
        <x:v>0.9259971907832727</x:v>
      </x:c>
      <x:c r="T40" s="12" t="n">
        <x:f>IF(G40=1,IF(S40&gt;=0.9,1,0),0)</x:f>
        <x:v>1</x:v>
      </x:c>
      <x:c r="U40" s="12" t="n">
        <x:f>IF(G40=1,IF(S40&gt;R40+0.000001,1,0),0)</x:f>
        <x:v>0</x:v>
      </x:c>
    </x:row>
    <x:row r="41" ht="15" hidden="0" customHeight="1">
      <x:c r="A41" s="2" t="str">
        <x:v>deepcad</x:v>
      </x:c>
      <x:c r="B41" s="12" t="n">
        <x:v>3</x:v>
      </x:c>
      <x:c r="C41" s="2" t="str">
        <x:v>f2bb8530e68b55fd</x:v>
      </x:c>
      <x:c r="D41" s="8" t="str">
        <x:v>00892528.stl</x:v>
      </x:c>
      <x:c r="E41" s="2" t="str"/>
      <x:c r="F41" s="2" t="str">
        <x:v>success</x:v>
      </x:c>
      <x:c r="G41" s="12" t="n">
        <x:v>1</x:v>
      </x:c>
      <x:c r="H41" s="9" t="n">
        <x:v>0.9974586847988108</x:v>
      </x:c>
      <x:c r="I41" s="9" t="n">
        <x:v>0.9974586847988108</x:v>
      </x:c>
      <x:c r="J41" s="13" t="n">
        <x:v>1</x:v>
      </x:c>
      <x:c r="K41" s="13" t="n">
        <x:v>1</x:v>
      </x:c>
      <x:c r="L41" s="13" t="n">
        <x:v>3891</x:v>
      </x:c>
      <x:c r="M41" s="10" t="n">
        <x:v>0.0011253</x:v>
      </x:c>
      <x:c r="N41" s="11" t="n">
        <x:v>21.641968874993037</x:v>
      </x:c>
      <x:c r="O41" s="2" t="str"/>
      <x:c r="P41" s="2" t="str">
        <x:v>target_iou</x:v>
      </x:c>
      <x:c r="Q41" s="2" t="str">
        <x:v>618b9806e19af1580b9c1c9ff499ca79b25456ca6afdb1e0ff6d8917614c003a</x:v>
      </x:c>
      <x:c r="R41" s="9" t="n">
        <x:f>IF(G41=1,IF(ISNUMBER(H41),H41,0),"")</x:f>
        <x:v>0.9974586847988108</x:v>
      </x:c>
      <x:c r="S41" s="9" t="n">
        <x:f>IF(G41=1,IF(ISNUMBER(I41),I41,0),"")</x:f>
        <x:v>0.9974586847988108</x:v>
      </x:c>
      <x:c r="T41" s="12" t="n">
        <x:f>IF(G41=1,IF(S41&gt;=0.9,1,0),0)</x:f>
        <x:v>1</x:v>
      </x:c>
      <x:c r="U41" s="12" t="n">
        <x:f>IF(G41=1,IF(S41&gt;R41+0.000001,1,0),0)</x:f>
        <x:v>0</x:v>
      </x:c>
    </x:row>
    <x:row r="42" ht="15" hidden="0" customHeight="1">
      <x:c r="A42" s="2" t="str">
        <x:v>deepcad</x:v>
      </x:c>
      <x:c r="B42" s="12" t="n">
        <x:v>3</x:v>
      </x:c>
      <x:c r="C42" s="2" t="str">
        <x:v>fc47d05119b67808</x:v>
      </x:c>
      <x:c r="D42" s="8" t="str">
        <x:v>00238922.stl</x:v>
      </x:c>
      <x:c r="E42" s="2" t="str"/>
      <x:c r="F42" s="2" t="str">
        <x:v>success</x:v>
      </x:c>
      <x:c r="G42" s="12" t="n">
        <x:v>1</x:v>
      </x:c>
      <x:c r="H42" s="9" t="n">
        <x:v>0.9984520662144625</x:v>
      </x:c>
      <x:c r="I42" s="9" t="n">
        <x:v>0.9984520662144625</x:v>
      </x:c>
      <x:c r="J42" s="13" t="n">
        <x:v>1</x:v>
      </x:c>
      <x:c r="K42" s="13" t="n">
        <x:v>1</x:v>
      </x:c>
      <x:c r="L42" s="13" t="n">
        <x:v>3934</x:v>
      </x:c>
      <x:c r="M42" s="10" t="n">
        <x:v>0.0011468</x:v>
      </x:c>
      <x:c r="N42" s="11" t="n">
        <x:v>19.616619541994297</x:v>
      </x:c>
      <x:c r="O42" s="2" t="str"/>
      <x:c r="P42" s="2" t="str">
        <x:v>target_iou</x:v>
      </x:c>
      <x:c r="Q42" s="2" t="str">
        <x:v>adcb8108359fc133f97ea687fbe64eaeff7cfad402104ccb883c2ff162e543f7</x:v>
      </x:c>
      <x:c r="R42" s="9" t="n">
        <x:f>IF(G42=1,IF(ISNUMBER(H42),H42,0),"")</x:f>
        <x:v>0.9984520662144625</x:v>
      </x:c>
      <x:c r="S42" s="9" t="n">
        <x:f>IF(G42=1,IF(ISNUMBER(I42),I42,0),"")</x:f>
        <x:v>0.9984520662144625</x:v>
      </x:c>
      <x:c r="T42" s="12" t="n">
        <x:f>IF(G42=1,IF(S42&gt;=0.9,1,0),0)</x:f>
        <x:v>1</x:v>
      </x:c>
      <x:c r="U42" s="12" t="n">
        <x:f>IF(G42=1,IF(S42&gt;R42+0.000001,1,0),0)</x:f>
        <x:v>0</x:v>
      </x:c>
    </x:row>
    <x:row r="43" ht="15" hidden="0" customHeight="1">
      <x:c r="A43" s="2" t="str">
        <x:v>deepcad</x:v>
      </x:c>
      <x:c r="B43" s="12" t="n">
        <x:v>3</x:v>
      </x:c>
      <x:c r="C43" s="2" t="str">
        <x:v>41ae2fdcbee2c39b</x:v>
      </x:c>
      <x:c r="D43" s="8" t="str">
        <x:v>00842773.stl</x:v>
      </x:c>
      <x:c r="E43" s="2" t="str"/>
      <x:c r="F43" s="2" t="str">
        <x:v>success</x:v>
      </x:c>
      <x:c r="G43" s="12" t="n">
        <x:v>1</x:v>
      </x:c>
      <x:c r="H43" s="9" t="n">
        <x:v>0.998665816263219</x:v>
      </x:c>
      <x:c r="I43" s="9" t="n">
        <x:v>0.998665816263219</x:v>
      </x:c>
      <x:c r="J43" s="13" t="n">
        <x:v>1</x:v>
      </x:c>
      <x:c r="K43" s="13" t="n">
        <x:v>1</x:v>
      </x:c>
      <x:c r="L43" s="13" t="n">
        <x:v>3088</x:v>
      </x:c>
      <x:c r="M43" s="10" t="n">
        <x:v>0.0007238</x:v>
      </x:c>
      <x:c r="N43" s="11" t="n">
        <x:v>14.44961987500498</x:v>
      </x:c>
      <x:c r="O43" s="2" t="str"/>
      <x:c r="P43" s="2" t="str">
        <x:v>target_iou</x:v>
      </x:c>
      <x:c r="Q43" s="2" t="str">
        <x:v>57f2113478ed324d45d385b428eb6908bed692dd06632e5c555f6b217f793a1c</x:v>
      </x:c>
      <x:c r="R43" s="9" t="n">
        <x:f>IF(G43=1,IF(ISNUMBER(H43),H43,0),"")</x:f>
        <x:v>0.998665816263219</x:v>
      </x:c>
      <x:c r="S43" s="9" t="n">
        <x:f>IF(G43=1,IF(ISNUMBER(I43),I43,0),"")</x:f>
        <x:v>0.998665816263219</x:v>
      </x:c>
      <x:c r="T43" s="12" t="n">
        <x:f>IF(G43=1,IF(S43&gt;=0.9,1,0),0)</x:f>
        <x:v>1</x:v>
      </x:c>
      <x:c r="U43" s="12" t="n">
        <x:f>IF(G43=1,IF(S43&gt;R43+0.000001,1,0),0)</x:f>
        <x:v>0</x:v>
      </x:c>
    </x:row>
    <x:row r="44" ht="15" hidden="0" customHeight="1">
      <x:c r="A44" s="2" t="str">
        <x:v>deepcad</x:v>
      </x:c>
      <x:c r="B44" s="12" t="n">
        <x:v>3</x:v>
      </x:c>
      <x:c r="C44" s="2" t="str">
        <x:v>76c9db912f4bdb47</x:v>
      </x:c>
      <x:c r="D44" s="8" t="str">
        <x:v>00860878.stl</x:v>
      </x:c>
      <x:c r="E44" s="2" t="str"/>
      <x:c r="F44" s="2" t="str">
        <x:v>success</x:v>
      </x:c>
      <x:c r="G44" s="12" t="n">
        <x:v>1</x:v>
      </x:c>
      <x:c r="H44" s="9" t="n">
        <x:v>0.996548067451407</x:v>
      </x:c>
      <x:c r="I44" s="9" t="n">
        <x:v>0.996548067451407</x:v>
      </x:c>
      <x:c r="J44" s="13" t="n">
        <x:v>1</x:v>
      </x:c>
      <x:c r="K44" s="13" t="n">
        <x:v>1</x:v>
      </x:c>
      <x:c r="L44" s="13" t="n">
        <x:v>4719</x:v>
      </x:c>
      <x:c r="M44" s="10" t="n">
        <x:v>0.00154155</x:v>
      </x:c>
      <x:c r="N44" s="11" t="n">
        <x:v>29.925090749998578</x:v>
      </x:c>
      <x:c r="O44" s="2" t="str"/>
      <x:c r="P44" s="2" t="str">
        <x:v>target_iou</x:v>
      </x:c>
      <x:c r="Q44" s="2" t="str">
        <x:v>a0f17d4bcdcca5f1aa7fe5b59438fe5960e57ee571a9a2bb6b039b6c963f30a2</x:v>
      </x:c>
      <x:c r="R44" s="9" t="n">
        <x:f>IF(G44=1,IF(ISNUMBER(H44),H44,0),"")</x:f>
        <x:v>0.996548067451407</x:v>
      </x:c>
      <x:c r="S44" s="9" t="n">
        <x:f>IF(G44=1,IF(ISNUMBER(I44),I44,0),"")</x:f>
        <x:v>0.996548067451407</x:v>
      </x:c>
      <x:c r="T44" s="12" t="n">
        <x:f>IF(G44=1,IF(S44&gt;=0.9,1,0),0)</x:f>
        <x:v>1</x:v>
      </x:c>
      <x:c r="U44" s="12" t="n">
        <x:f>IF(G44=1,IF(S44&gt;R44+0.000001,1,0),0)</x:f>
        <x:v>0</x:v>
      </x:c>
    </x:row>
    <x:row r="45" ht="15" hidden="0" customHeight="1">
      <x:c r="A45" s="2" t="str">
        <x:v>deepcad</x:v>
      </x:c>
      <x:c r="B45" s="12" t="n">
        <x:v>3</x:v>
      </x:c>
      <x:c r="C45" s="2" t="str">
        <x:v>6b86bc131583966f</x:v>
      </x:c>
      <x:c r="D45" s="8" t="str">
        <x:v>00820718.stl</x:v>
      </x:c>
      <x:c r="E45" s="2" t="str"/>
      <x:c r="F45" s="2" t="str">
        <x:v>success</x:v>
      </x:c>
      <x:c r="G45" s="12" t="n">
        <x:v>1</x:v>
      </x:c>
      <x:c r="H45" s="9" t="n">
        <x:v>0.9884405811676251</x:v>
      </x:c>
      <x:c r="I45" s="9" t="n">
        <x:v>0.9884405811676251</x:v>
      </x:c>
      <x:c r="J45" s="13" t="n">
        <x:v>1</x:v>
      </x:c>
      <x:c r="K45" s="13" t="n">
        <x:v>1</x:v>
      </x:c>
      <x:c r="L45" s="13" t="n">
        <x:v>2914</x:v>
      </x:c>
      <x:c r="M45" s="10" t="n">
        <x:v>0.0006368</x:v>
      </x:c>
      <x:c r="N45" s="11" t="n">
        <x:v>15.498519624999375</x:v>
      </x:c>
      <x:c r="O45" s="2" t="str"/>
      <x:c r="P45" s="2" t="str">
        <x:v>target_iou</x:v>
      </x:c>
      <x:c r="Q45" s="2" t="str">
        <x:v>5e574be6e134fda67204e6429967a476b592930152a2fdada0ef853ce8365e29</x:v>
      </x:c>
      <x:c r="R45" s="9" t="n">
        <x:f>IF(G45=1,IF(ISNUMBER(H45),H45,0),"")</x:f>
        <x:v>0.9884405811676251</x:v>
      </x:c>
      <x:c r="S45" s="9" t="n">
        <x:f>IF(G45=1,IF(ISNUMBER(I45),I45,0),"")</x:f>
        <x:v>0.9884405811676251</x:v>
      </x:c>
      <x:c r="T45" s="12" t="n">
        <x:f>IF(G45=1,IF(S45&gt;=0.9,1,0),0)</x:f>
        <x:v>1</x:v>
      </x:c>
      <x:c r="U45" s="12" t="n">
        <x:f>IF(G45=1,IF(S45&gt;R45+0.000001,1,0),0)</x:f>
        <x:v>0</x:v>
      </x:c>
    </x:row>
    <x:row r="46" ht="15" hidden="0" customHeight="1">
      <x:c r="A46" s="2" t="str">
        <x:v>deepcad</x:v>
      </x:c>
      <x:c r="B46" s="12" t="n">
        <x:v>3</x:v>
      </x:c>
      <x:c r="C46" s="2" t="str">
        <x:v>8340c60a461b7253</x:v>
      </x:c>
      <x:c r="D46" s="8" t="str">
        <x:v>00687083.stl</x:v>
      </x:c>
      <x:c r="E46" s="2" t="str"/>
      <x:c r="F46" s="2" t="str">
        <x:v>success</x:v>
      </x:c>
      <x:c r="G46" s="12" t="n">
        <x:v>1</x:v>
      </x:c>
      <x:c r="H46" s="9" t="n">
        <x:v>0.9909834309056238</x:v>
      </x:c>
      <x:c r="I46" s="9" t="n">
        <x:v>0.9909834309056238</x:v>
      </x:c>
      <x:c r="J46" s="13" t="n">
        <x:v>1</x:v>
      </x:c>
      <x:c r="K46" s="13" t="n">
        <x:v>1</x:v>
      </x:c>
      <x:c r="L46" s="13" t="n">
        <x:v>4011</x:v>
      </x:c>
      <x:c r="M46" s="10" t="n">
        <x:v>0.0011883</x:v>
      </x:c>
      <x:c r="N46" s="11" t="n">
        <x:v>23.78369516600319</x:v>
      </x:c>
      <x:c r="O46" s="2" t="str"/>
      <x:c r="P46" s="2" t="str">
        <x:v>target_iou</x:v>
      </x:c>
      <x:c r="Q46" s="2" t="str">
        <x:v>53f96059738b645c7701f8278f4ab178d0720c2138c5917bea5dfa81f2160129</x:v>
      </x:c>
      <x:c r="R46" s="9" t="n">
        <x:f>IF(G46=1,IF(ISNUMBER(H46),H46,0),"")</x:f>
        <x:v>0.9909834309056238</x:v>
      </x:c>
      <x:c r="S46" s="9" t="n">
        <x:f>IF(G46=1,IF(ISNUMBER(I46),I46,0),"")</x:f>
        <x:v>0.9909834309056238</x:v>
      </x:c>
      <x:c r="T46" s="12" t="n">
        <x:f>IF(G46=1,IF(S46&gt;=0.9,1,0),0)</x:f>
        <x:v>1</x:v>
      </x:c>
      <x:c r="U46" s="12" t="n">
        <x:f>IF(G46=1,IF(S46&gt;R46+0.000001,1,0),0)</x:f>
        <x:v>0</x:v>
      </x:c>
    </x:row>
    <x:row r="47" ht="15" hidden="0" customHeight="1">
      <x:c r="A47" s="2" t="str">
        <x:v>deepcad</x:v>
      </x:c>
      <x:c r="B47" s="12" t="n">
        <x:v>3</x:v>
      </x:c>
      <x:c r="C47" s="2" t="str">
        <x:v>8b1771a9fe4ffd63</x:v>
      </x:c>
      <x:c r="D47" s="8" t="str">
        <x:v>00911599.stl</x:v>
      </x:c>
      <x:c r="E47" s="2" t="str"/>
      <x:c r="F47" s="2" t="str">
        <x:v>success</x:v>
      </x:c>
      <x:c r="G47" s="12" t="n">
        <x:v>1</x:v>
      </x:c>
      <x:c r="H47" s="9" t="n">
        <x:v>0.5741735019745513</x:v>
      </x:c>
      <x:c r="I47" s="9" t="n">
        <x:v>0.9949627017182374</x:v>
      </x:c>
      <x:c r="J47" s="13" t="n">
        <x:v>1</x:v>
      </x:c>
      <x:c r="K47" s="13" t="n">
        <x:v>4</x:v>
      </x:c>
      <x:c r="L47" s="13" t="n">
        <x:v>35714</x:v>
      </x:c>
      <x:c r="M47" s="10" t="n">
        <x:v>0.00927172</x:v>
      </x:c>
      <x:c r="N47" s="11" t="n">
        <x:v>151.45448895800754</x:v>
      </x:c>
      <x:c r="O47" s="2" t="str"/>
      <x:c r="P47" s="2" t="str">
        <x:v>target_iou</x:v>
      </x:c>
      <x:c r="Q47" s="2" t="str">
        <x:v>0a8816cfa9ce56d5add5cbe38ca92f549ed957b600d0d8fdfa7fb80a24fa6110</x:v>
      </x:c>
      <x:c r="R47" s="9" t="n">
        <x:f>IF(G47=1,IF(ISNUMBER(H47),H47,0),"")</x:f>
        <x:v>0.5741735019745513</x:v>
      </x:c>
      <x:c r="S47" s="9" t="n">
        <x:f>IF(G47=1,IF(ISNUMBER(I47),I47,0),"")</x:f>
        <x:v>0.9949627017182374</x:v>
      </x:c>
      <x:c r="T47" s="12" t="n">
        <x:f>IF(G47=1,IF(S47&gt;=0.9,1,0),0)</x:f>
        <x:v>1</x:v>
      </x:c>
      <x:c r="U47" s="12" t="n">
        <x:f>IF(G47=1,IF(S47&gt;R47+0.000001,1,0),0)</x:f>
        <x:v>1</x:v>
      </x:c>
    </x:row>
    <x:row r="48" ht="15" hidden="0" customHeight="1">
      <x:c r="A48" s="2" t="str">
        <x:v>deepcad</x:v>
      </x:c>
      <x:c r="B48" s="12" t="n">
        <x:v>3</x:v>
      </x:c>
      <x:c r="C48" s="2" t="str">
        <x:v>2371e3c00e2b8bcc</x:v>
      </x:c>
      <x:c r="D48" s="8" t="str">
        <x:v>00140856.stl</x:v>
      </x:c>
      <x:c r="E48" s="2" t="str"/>
      <x:c r="F48" s="2" t="str">
        <x:v>success</x:v>
      </x:c>
      <x:c r="G48" s="12" t="n">
        <x:v>1</x:v>
      </x:c>
      <x:c r="H48" s="9" t="n">
        <x:v>0.9994544523630896</x:v>
      </x:c>
      <x:c r="I48" s="9" t="n">
        <x:v>0.9994544523630896</x:v>
      </x:c>
      <x:c r="J48" s="13" t="n">
        <x:v>1</x:v>
      </x:c>
      <x:c r="K48" s="13" t="n">
        <x:v>1</x:v>
      </x:c>
      <x:c r="L48" s="13" t="n">
        <x:v>4070</x:v>
      </x:c>
      <x:c r="M48" s="10" t="n">
        <x:v>0.0012148</x:v>
      </x:c>
      <x:c r="N48" s="11" t="n">
        <x:v>26.805401625002503</x:v>
      </x:c>
      <x:c r="O48" s="2" t="str"/>
      <x:c r="P48" s="2" t="str">
        <x:v>target_iou</x:v>
      </x:c>
      <x:c r="Q48" s="2" t="str">
        <x:v>d8abe21bd67d6f7da6175b3a7ed1e821beb2d478d6739935147ae18818319c88</x:v>
      </x:c>
      <x:c r="R48" s="9" t="n">
        <x:f>IF(G48=1,IF(ISNUMBER(H48),H48,0),"")</x:f>
        <x:v>0.9994544523630896</x:v>
      </x:c>
      <x:c r="S48" s="9" t="n">
        <x:f>IF(G48=1,IF(ISNUMBER(I48),I48,0),"")</x:f>
        <x:v>0.9994544523630896</x:v>
      </x:c>
      <x:c r="T48" s="12" t="n">
        <x:f>IF(G48=1,IF(S48&gt;=0.9,1,0),0)</x:f>
        <x:v>1</x:v>
      </x:c>
      <x:c r="U48" s="12" t="n">
        <x:f>IF(G48=1,IF(S48&gt;R48+0.000001,1,0),0)</x:f>
        <x:v>0</x:v>
      </x:c>
    </x:row>
    <x:row r="49" ht="15" hidden="0" customHeight="1">
      <x:c r="A49" s="2" t="str">
        <x:v>deepcad</x:v>
      </x:c>
      <x:c r="B49" s="12" t="n">
        <x:v>4</x:v>
      </x:c>
      <x:c r="C49" s="2" t="str">
        <x:v>64af8893f0dcfc90</x:v>
      </x:c>
      <x:c r="D49" s="8" t="str">
        <x:v>00117819.stl</x:v>
      </x:c>
      <x:c r="E49" s="2" t="str"/>
      <x:c r="F49" s="2" t="str">
        <x:v>success</x:v>
      </x:c>
      <x:c r="G49" s="12" t="n">
        <x:v>1</x:v>
      </x:c>
      <x:c r="H49" s="9"/>
      <x:c r="I49" s="9" t="n">
        <x:v>0.9876521318802566</x:v>
      </x:c>
      <x:c r="J49" s="13" t="n">
        <x:v>1</x:v>
      </x:c>
      <x:c r="K49" s="13" t="n">
        <x:v>2</x:v>
      </x:c>
      <x:c r="L49" s="13" t="n">
        <x:v>8473</x:v>
      </x:c>
      <x:c r="M49" s="10" t="n">
        <x:v>0.002171315</x:v>
      </x:c>
      <x:c r="N49" s="11" t="n">
        <x:v>41.47051312500215</x:v>
      </x:c>
      <x:c r="O49" s="2" t="str"/>
      <x:c r="P49" s="2" t="str">
        <x:v>target_iou</x:v>
      </x:c>
      <x:c r="Q49" s="2" t="str">
        <x:v>996e0d188a3384c441e60a9f51f6dd7ab72556362bda1c0671f976a2f344aff3</x:v>
      </x:c>
      <x:c r="R49" s="9" t="n">
        <x:f>IF(G49=1,IF(ISNUMBER(H49),H49,0),"")</x:f>
        <x:v>0</x:v>
      </x:c>
      <x:c r="S49" s="9" t="n">
        <x:f>IF(G49=1,IF(ISNUMBER(I49),I49,0),"")</x:f>
        <x:v>0.9876521318802566</x:v>
      </x:c>
      <x:c r="T49" s="12" t="n">
        <x:f>IF(G49=1,IF(S49&gt;=0.9,1,0),0)</x:f>
        <x:v>1</x:v>
      </x:c>
      <x:c r="U49" s="12" t="n">
        <x:f>IF(G49=1,IF(S49&gt;R49+0.000001,1,0),0)</x:f>
        <x:v>1</x:v>
      </x:c>
    </x:row>
    <x:row r="50" ht="15" hidden="0" customHeight="1">
      <x:c r="A50" s="2" t="str">
        <x:v>deepcad</x:v>
      </x:c>
      <x:c r="B50" s="12" t="n">
        <x:v>4</x:v>
      </x:c>
      <x:c r="C50" s="2" t="str">
        <x:v>ca3cfd440f80f418</x:v>
      </x:c>
      <x:c r="D50" s="8" t="str">
        <x:v>00986248.stl</x:v>
      </x:c>
      <x:c r="E50" s="2" t="str"/>
      <x:c r="F50" s="2" t="str">
        <x:v>success</x:v>
      </x:c>
      <x:c r="G50" s="12" t="n">
        <x:v>1</x:v>
      </x:c>
      <x:c r="H50" s="9" t="n">
        <x:v>0.9950539816808848</x:v>
      </x:c>
      <x:c r="I50" s="9" t="n">
        <x:v>0.9950539816808848</x:v>
      </x:c>
      <x:c r="J50" s="13" t="n">
        <x:v>1</x:v>
      </x:c>
      <x:c r="K50" s="13" t="n">
        <x:v>1</x:v>
      </x:c>
      <x:c r="L50" s="13" t="n">
        <x:v>3742</x:v>
      </x:c>
      <x:c r="M50" s="10" t="n">
        <x:v>0.0010508</x:v>
      </x:c>
      <x:c r="N50" s="11" t="n">
        <x:v>17.785551249994896</x:v>
      </x:c>
      <x:c r="O50" s="2" t="str"/>
      <x:c r="P50" s="2" t="str">
        <x:v>target_iou</x:v>
      </x:c>
      <x:c r="Q50" s="2" t="str">
        <x:v>b2184d20492c3658b766b082cd3b66a441951424838195c340e73c177ffb324b</x:v>
      </x:c>
      <x:c r="R50" s="9" t="n">
        <x:f>IF(G50=1,IF(ISNUMBER(H50),H50,0),"")</x:f>
        <x:v>0.9950539816808848</x:v>
      </x:c>
      <x:c r="S50" s="9" t="n">
        <x:f>IF(G50=1,IF(ISNUMBER(I50),I50,0),"")</x:f>
        <x:v>0.9950539816808848</x:v>
      </x:c>
      <x:c r="T50" s="12" t="n">
        <x:f>IF(G50=1,IF(S50&gt;=0.9,1,0),0)</x:f>
        <x:v>1</x:v>
      </x:c>
      <x:c r="U50" s="12" t="n">
        <x:f>IF(G50=1,IF(S50&gt;R50+0.000001,1,0),0)</x:f>
        <x:v>0</x:v>
      </x:c>
    </x:row>
    <x:row r="51" ht="15" hidden="0" customHeight="1">
      <x:c r="A51" s="2" t="str">
        <x:v>deepcad</x:v>
      </x:c>
      <x:c r="B51" s="12" t="n">
        <x:v>4</x:v>
      </x:c>
      <x:c r="C51" s="2" t="str">
        <x:v>60b3c2f70d47706d</x:v>
      </x:c>
      <x:c r="D51" s="8" t="str">
        <x:v>00487635.stl</x:v>
      </x:c>
      <x:c r="E51" s="2" t="str"/>
      <x:c r="F51" s="2" t="str">
        <x:v>success</x:v>
      </x:c>
      <x:c r="G51" s="12" t="n">
        <x:v>1</x:v>
      </x:c>
      <x:c r="H51" s="9" t="n">
        <x:v>0.9987998081633027</x:v>
      </x:c>
      <x:c r="I51" s="9" t="n">
        <x:v>0.9987998081633027</x:v>
      </x:c>
      <x:c r="J51" s="13" t="n">
        <x:v>1</x:v>
      </x:c>
      <x:c r="K51" s="13" t="n">
        <x:v>1</x:v>
      </x:c>
      <x:c r="L51" s="13" t="n">
        <x:v>3488</x:v>
      </x:c>
      <x:c r="M51" s="10" t="n">
        <x:v>0.0009238</x:v>
      </x:c>
      <x:c r="N51" s="11" t="n">
        <x:v>18.175197999999508</x:v>
      </x:c>
      <x:c r="O51" s="2" t="str"/>
      <x:c r="P51" s="2" t="str">
        <x:v>target_iou</x:v>
      </x:c>
      <x:c r="Q51" s="2" t="str">
        <x:v>f07ef9dfa749af3ca3c0ce3902c62e226114d32ab8a0bc2d41a1e4140fe8b469</x:v>
      </x:c>
      <x:c r="R51" s="9" t="n">
        <x:f>IF(G51=1,IF(ISNUMBER(H51),H51,0),"")</x:f>
        <x:v>0.9987998081633027</x:v>
      </x:c>
      <x:c r="S51" s="9" t="n">
        <x:f>IF(G51=1,IF(ISNUMBER(I51),I51,0),"")</x:f>
        <x:v>0.9987998081633027</x:v>
      </x:c>
      <x:c r="T51" s="12" t="n">
        <x:f>IF(G51=1,IF(S51&gt;=0.9,1,0),0)</x:f>
        <x:v>1</x:v>
      </x:c>
      <x:c r="U51" s="12" t="n">
        <x:f>IF(G51=1,IF(S51&gt;R51+0.000001,1,0),0)</x:f>
        <x:v>0</x:v>
      </x:c>
    </x:row>
    <x:row r="52" ht="15" hidden="0" customHeight="1">
      <x:c r="A52" s="2" t="str">
        <x:v>deepcad</x:v>
      </x:c>
      <x:c r="B52" s="12" t="n">
        <x:v>4</x:v>
      </x:c>
      <x:c r="C52" s="2" t="str">
        <x:v>c9cd954986e5bd94</x:v>
      </x:c>
      <x:c r="D52" s="8" t="str">
        <x:v>00705837.stl</x:v>
      </x:c>
      <x:c r="E52" s="2" t="str"/>
      <x:c r="F52" s="2" t="str">
        <x:v>success</x:v>
      </x:c>
      <x:c r="G52" s="12" t="n">
        <x:v>1</x:v>
      </x:c>
      <x:c r="H52" s="9" t="n">
        <x:v>0.7767498852815367</x:v>
      </x:c>
      <x:c r="I52" s="9" t="n">
        <x:v>0.9086253902620038</x:v>
      </x:c>
      <x:c r="J52" s="13" t="n">
        <x:v>1</x:v>
      </x:c>
      <x:c r="K52" s="13" t="n">
        <x:v>3</x:v>
      </x:c>
      <x:c r="L52" s="13" t="n">
        <x:v>24957</x:v>
      </x:c>
      <x:c r="M52" s="10" t="n">
        <x:v>0.0069340800000000005</x:v>
      </x:c>
      <x:c r="N52" s="11" t="n">
        <x:v>120.00735879198183</x:v>
      </x:c>
      <x:c r="O52" s="2" t="str"/>
      <x:c r="P52" s="2" t="str">
        <x:v>target_iou</x:v>
      </x:c>
      <x:c r="Q52" s="2" t="str">
        <x:v>3230240428178c4f7ae6a32a76eca5864229250c5575e041e7a287d1a55955cd</x:v>
      </x:c>
      <x:c r="R52" s="9" t="n">
        <x:f>IF(G52=1,IF(ISNUMBER(H52),H52,0),"")</x:f>
        <x:v>0.7767498852815367</x:v>
      </x:c>
      <x:c r="S52" s="9" t="n">
        <x:f>IF(G52=1,IF(ISNUMBER(I52),I52,0),"")</x:f>
        <x:v>0.9086253902620038</x:v>
      </x:c>
      <x:c r="T52" s="12" t="n">
        <x:f>IF(G52=1,IF(S52&gt;=0.9,1,0),0)</x:f>
        <x:v>1</x:v>
      </x:c>
      <x:c r="U52" s="12" t="n">
        <x:f>IF(G52=1,IF(S52&gt;R52+0.000001,1,0),0)</x:f>
        <x:v>1</x:v>
      </x:c>
    </x:row>
    <x:row r="53" ht="15" hidden="0" customHeight="1">
      <x:c r="A53" s="2" t="str">
        <x:v>deepcad</x:v>
      </x:c>
      <x:c r="B53" s="12" t="n">
        <x:v>4</x:v>
      </x:c>
      <x:c r="C53" s="2" t="str">
        <x:v>eed391c589e514aa</x:v>
      </x:c>
      <x:c r="D53" s="8" t="str">
        <x:v>00282301.stl</x:v>
      </x:c>
      <x:c r="E53" s="2" t="str"/>
      <x:c r="F53" s="2" t="str">
        <x:v>success</x:v>
      </x:c>
      <x:c r="G53" s="12" t="n">
        <x:v>1</x:v>
      </x:c>
      <x:c r="H53" s="9" t="n">
        <x:v>0.9995920641312345</x:v>
      </x:c>
      <x:c r="I53" s="9" t="n">
        <x:v>0.9995920641312345</x:v>
      </x:c>
      <x:c r="J53" s="13" t="n">
        <x:v>1</x:v>
      </x:c>
      <x:c r="K53" s="13" t="n">
        <x:v>1</x:v>
      </x:c>
      <x:c r="L53" s="13" t="n">
        <x:v>4234</x:v>
      </x:c>
      <x:c r="M53" s="10" t="n">
        <x:v>0.0012968</x:v>
      </x:c>
      <x:c r="N53" s="11" t="n">
        <x:v>25.884635833005536</x:v>
      </x:c>
      <x:c r="O53" s="2" t="str"/>
      <x:c r="P53" s="2" t="str">
        <x:v>target_iou</x:v>
      </x:c>
      <x:c r="Q53" s="2" t="str">
        <x:v>adbd386ed6d5dbeb0b0f5e4c63da3ac37b8d29b9817859fb652a6b7200c2366d</x:v>
      </x:c>
      <x:c r="R53" s="9" t="n">
        <x:f>IF(G53=1,IF(ISNUMBER(H53),H53,0),"")</x:f>
        <x:v>0.9995920641312345</x:v>
      </x:c>
      <x:c r="S53" s="9" t="n">
        <x:f>IF(G53=1,IF(ISNUMBER(I53),I53,0),"")</x:f>
        <x:v>0.9995920641312345</x:v>
      </x:c>
      <x:c r="T53" s="12" t="n">
        <x:f>IF(G53=1,IF(S53&gt;=0.9,1,0),0)</x:f>
        <x:v>1</x:v>
      </x:c>
      <x:c r="U53" s="12" t="n">
        <x:f>IF(G53=1,IF(S53&gt;R53+0.000001,1,0),0)</x:f>
        <x:v>0</x:v>
      </x:c>
    </x:row>
    <x:row r="54" ht="15" hidden="0" customHeight="1">
      <x:c r="A54" s="2" t="str">
        <x:v>interior300</x:v>
      </x:c>
      <x:c r="B54" s="12" t="n">
        <x:v>1</x:v>
      </x:c>
      <x:c r="C54" s="2" t="str">
        <x:v>indoorcad_bb795b17ea76b9</x:v>
      </x:c>
      <x:c r="D54" s="8" t="str">
        <x:v>WASHBASIN_ELIPSE_SLDPRT</x:v>
      </x:c>
      <x:c r="E54" s="2" t="str">
        <x:v>desktop_object</x:v>
      </x:c>
      <x:c r="F54" s="2" t="str">
        <x:v>stalled</x:v>
      </x:c>
      <x:c r="G54" s="12" t="n">
        <x:v>1</x:v>
      </x:c>
      <x:c r="H54" s="9" t="n">
        <x:v>0.08537525658392815</x:v>
      </x:c>
      <x:c r="I54" s="9" t="n">
        <x:v>0.3065383973060841</x:v>
      </x:c>
      <x:c r="J54" s="13" t="n">
        <x:v>1</x:v>
      </x:c>
      <x:c r="K54" s="13" t="n">
        <x:v>5</x:v>
      </x:c>
      <x:c r="L54" s="13" t="n">
        <x:v>55957</x:v>
      </x:c>
      <x:c r="M54" s="10" t="n">
        <x:v>0.01430079</x:v>
      </x:c>
      <x:c r="N54" s="11" t="n">
        <x:v>218.12674779099365</x:v>
      </x:c>
      <x:c r="O54" s="2" t="str">
        <x:v>indoorcad</x:v>
      </x:c>
      <x:c r="P54" s="2" t="str">
        <x:v>no_improvement</x:v>
      </x:c>
      <x:c r="Q54" s="2" t="str">
        <x:v>518f369a0888b7dce41dad56ea678f441dbc6cdfc83864cc3c91727540a88e4d</x:v>
      </x:c>
      <x:c r="R54" s="9" t="n">
        <x:f>IF(G54=1,IF(ISNUMBER(H54),H54,0),"")</x:f>
        <x:v>0.08537525658392815</x:v>
      </x:c>
      <x:c r="S54" s="9" t="n">
        <x:f>IF(G54=1,IF(ISNUMBER(I54),I54,0),"")</x:f>
        <x:v>0.3065383973060841</x:v>
      </x:c>
      <x:c r="T54" s="12" t="n">
        <x:f>IF(G54=1,IF(S54&gt;=0.9,1,0),0)</x:f>
        <x:v>0</x:v>
      </x:c>
      <x:c r="U54" s="12" t="n">
        <x:f>IF(G54=1,IF(S54&gt;R54+0.000001,1,0),0)</x:f>
        <x:v>1</x:v>
      </x:c>
    </x:row>
    <x:row r="55" ht="15" hidden="0" customHeight="1">
      <x:c r="A55" s="2" t="str">
        <x:v>interior300</x:v>
      </x:c>
      <x:c r="B55" s="12" t="n">
        <x:v>1</x:v>
      </x:c>
      <x:c r="C55" s="2" t="str">
        <x:v>indoorcad_cec3657fc7791c</x:v>
      </x:c>
      <x:c r="D55" s="8" t="str">
        <x:v>CoverBack_SLDPRT</x:v>
      </x:c>
      <x:c r="E55" s="2" t="str">
        <x:v>lamp</x:v>
      </x:c>
      <x:c r="F55" s="2" t="str">
        <x:v>stalled</x:v>
      </x:c>
      <x:c r="G55" s="12" t="n">
        <x:v>1</x:v>
      </x:c>
      <x:c r="H55" s="9" t="n">
        <x:v>0.11555425619951695</x:v>
      </x:c>
      <x:c r="I55" s="9" t="n">
        <x:v>0.8702776605387307</x:v>
      </x:c>
      <x:c r="J55" s="13" t="n">
        <x:v>1</x:v>
      </x:c>
      <x:c r="K55" s="13" t="n">
        <x:v>5</x:v>
      </x:c>
      <x:c r="L55" s="13" t="n">
        <x:v>38195</x:v>
      </x:c>
      <x:c r="M55" s="10" t="n">
        <x:v>0.008061325</x:v>
      </x:c>
      <x:c r="N55" s="11" t="n">
        <x:v>135.2869849179848</x:v>
      </x:c>
      <x:c r="O55" s="2" t="str">
        <x:v>indoorcad</x:v>
      </x:c>
      <x:c r="P55" s="2" t="str">
        <x:v>no_improvement</x:v>
      </x:c>
      <x:c r="Q55" s="2" t="str">
        <x:v>25a3dd6c0914c8db992cc5a93bed5d7665ff55ee304c20eb79c5da0e9bab83e4</x:v>
      </x:c>
      <x:c r="R55" s="9" t="n">
        <x:f>IF(G55=1,IF(ISNUMBER(H55),H55,0),"")</x:f>
        <x:v>0.11555425619951695</x:v>
      </x:c>
      <x:c r="S55" s="9" t="n">
        <x:f>IF(G55=1,IF(ISNUMBER(I55),I55,0),"")</x:f>
        <x:v>0.8702776605387307</x:v>
      </x:c>
      <x:c r="T55" s="12" t="n">
        <x:f>IF(G55=1,IF(S55&gt;=0.9,1,0),0)</x:f>
        <x:v>0</x:v>
      </x:c>
      <x:c r="U55" s="12" t="n">
        <x:f>IF(G55=1,IF(S55&gt;R55+0.000001,1,0),0)</x:f>
        <x:v>1</x:v>
      </x:c>
    </x:row>
    <x:row r="56" ht="15" hidden="0" customHeight="1">
      <x:c r="A56" s="2" t="str">
        <x:v>interior300</x:v>
      </x:c>
      <x:c r="B56" s="12" t="n">
        <x:v>1</x:v>
      </x:c>
      <x:c r="C56" s="2" t="str">
        <x:v>indoorcad_a143c70108e1cf</x:v>
      </x:c>
      <x:c r="D56" s="8" t="str">
        <x:v>140_SLDPRT</x:v>
      </x:c>
      <x:c r="E56" s="2" t="str">
        <x:v>sofa</x:v>
      </x:c>
      <x:c r="F56" s="2" t="str">
        <x:v>stalled</x:v>
      </x:c>
      <x:c r="G56" s="12" t="n">
        <x:v>1</x:v>
      </x:c>
      <x:c r="H56" s="9" t="n">
        <x:v>0.6223261486471462</x:v>
      </x:c>
      <x:c r="I56" s="9" t="n">
        <x:v>0.6223261486471462</x:v>
      </x:c>
      <x:c r="J56" s="13" t="n">
        <x:v>1</x:v>
      </x:c>
      <x:c r="K56" s="13" t="n">
        <x:v>4</x:v>
      </x:c>
      <x:c r="L56" s="13" t="n">
        <x:v>40484</x:v>
      </x:c>
      <x:c r="M56" s="10" t="n">
        <x:v>0.010634349999999999</x:v>
      </x:c>
      <x:c r="N56" s="11" t="n">
        <x:v>179.288254290996</x:v>
      </x:c>
      <x:c r="O56" s="2" t="str">
        <x:v>indoorcad</x:v>
      </x:c>
      <x:c r="P56" s="2" t="str">
        <x:v>no_improvement</x:v>
      </x:c>
      <x:c r="Q56" s="2" t="str">
        <x:v>8dba09bbadbaf693407be71a23e4571dd9559edc60c82abaaaf86e75a5615274</x:v>
      </x:c>
      <x:c r="R56" s="9" t="n">
        <x:f>IF(G56=1,IF(ISNUMBER(H56),H56,0),"")</x:f>
        <x:v>0.6223261486471462</x:v>
      </x:c>
      <x:c r="S56" s="9" t="n">
        <x:f>IF(G56=1,IF(ISNUMBER(I56),I56,0),"")</x:f>
        <x:v>0.6223261486471462</x:v>
      </x:c>
      <x:c r="T56" s="12" t="n">
        <x:f>IF(G56=1,IF(S56&gt;=0.9,1,0),0)</x:f>
        <x:v>0</x:v>
      </x:c>
      <x:c r="U56" s="12" t="n">
        <x:f>IF(G56=1,IF(S56&gt;R56+0.000001,1,0),0)</x:f>
        <x:v>0</x:v>
      </x:c>
    </x:row>
    <x:row r="57" ht="15" hidden="0" customHeight="1">
      <x:c r="A57" s="2" t="str">
        <x:v>interior300</x:v>
      </x:c>
      <x:c r="B57" s="12" t="n">
        <x:v>1</x:v>
      </x:c>
      <x:c r="C57" s="2" t="str">
        <x:v>indoorcad_cb5de8ab0d2867</x:v>
      </x:c>
      <x:c r="D57" s="8" t="str">
        <x:v>AAAA_SLDPRT</x:v>
      </x:c>
      <x:c r="E57" s="2" t="str">
        <x:v>table</x:v>
      </x:c>
      <x:c r="F57" s="2" t="str">
        <x:v>exhausted</x:v>
      </x:c>
      <x:c r="G57" s="12" t="n">
        <x:v>1</x:v>
      </x:c>
      <x:c r="H57" s="9"/>
      <x:c r="I57" s="9" t="n">
        <x:v>0.28216590513587103</x:v>
      </x:c>
      <x:c r="J57" s="13" t="n">
        <x:v>1</x:v>
      </x:c>
      <x:c r="K57" s="13" t="n">
        <x:v>5</x:v>
      </x:c>
      <x:c r="L57" s="13" t="n">
        <x:v>45090</x:v>
      </x:c>
      <x:c r="M57" s="10" t="n">
        <x:v>0.01099182</x:v>
      </x:c>
      <x:c r="N57" s="11" t="n">
        <x:v>175.99036075000745</x:v>
      </x:c>
      <x:c r="O57" s="2" t="str">
        <x:v>indoorcad</x:v>
      </x:c>
      <x:c r="P57" s="2" t="str">
        <x:v>max_iterations</x:v>
      </x:c>
      <x:c r="Q57" s="2" t="str">
        <x:v>6a43715495c447cc8595c6accf1f310540c73d00a32dd58c757bc4d29f98c110</x:v>
      </x:c>
      <x:c r="R57" s="9" t="n">
        <x:f>IF(G57=1,IF(ISNUMBER(H57),H57,0),"")</x:f>
        <x:v>0</x:v>
      </x:c>
      <x:c r="S57" s="9" t="n">
        <x:f>IF(G57=1,IF(ISNUMBER(I57),I57,0),"")</x:f>
        <x:v>0.28216590513587103</x:v>
      </x:c>
      <x:c r="T57" s="12" t="n">
        <x:f>IF(G57=1,IF(S57&gt;=0.9,1,0),0)</x:f>
        <x:v>0</x:v>
      </x:c>
      <x:c r="U57" s="12" t="n">
        <x:f>IF(G57=1,IF(S57&gt;R57+0.000001,1,0),0)</x:f>
        <x:v>1</x:v>
      </x:c>
    </x:row>
    <x:row r="58" ht="15" hidden="0" customHeight="1">
      <x:c r="A58" s="2" t="str">
        <x:v>interior300</x:v>
      </x:c>
      <x:c r="B58" s="12" t="n">
        <x:v>1</x:v>
      </x:c>
      <x:c r="C58" s="2" t="str">
        <x:v>polyhaven_jug_01</x:v>
      </x:c>
      <x:c r="D58" s="8" t="str">
        <x:v>Jug 01</x:v>
      </x:c>
      <x:c r="E58" s="2" t="str">
        <x:v>kitchen</x:v>
      </x:c>
      <x:c r="F58" s="2" t="str">
        <x:v>exhausted</x:v>
      </x:c>
      <x:c r="G58" s="12" t="n">
        <x:v>1</x:v>
      </x:c>
      <x:c r="H58" s="9" t="n">
        <x:v>0.10795124544003361</x:v>
      </x:c>
      <x:c r="I58" s="9" t="n">
        <x:v>0.2378136533798494</x:v>
      </x:c>
      <x:c r="J58" s="13" t="n">
        <x:v>1</x:v>
      </x:c>
      <x:c r="K58" s="13" t="n">
        <x:v>5</x:v>
      </x:c>
      <x:c r="L58" s="13" t="n">
        <x:v>48222</x:v>
      </x:c>
      <x:c r="M58" s="10" t="n">
        <x:v>0.011184825</x:v>
      </x:c>
      <x:c r="N58" s="11" t="n">
        <x:v>181.90937995798978</x:v>
      </x:c>
      <x:c r="O58" s="2" t="str">
        <x:v>polyhaven</x:v>
      </x:c>
      <x:c r="P58" s="2" t="str">
        <x:v>max_iterations</x:v>
      </x:c>
      <x:c r="Q58" s="2" t="str">
        <x:v>ca54f332e44d8c687686c2da0fd01527b2eceb68531f9026c7291b8ac9231b0d</x:v>
      </x:c>
      <x:c r="R58" s="9" t="n">
        <x:f>IF(G58=1,IF(ISNUMBER(H58),H58,0),"")</x:f>
        <x:v>0.10795124544003361</x:v>
      </x:c>
      <x:c r="S58" s="9" t="n">
        <x:f>IF(G58=1,IF(ISNUMBER(I58),I58,0),"")</x:f>
        <x:v>0.2378136533798494</x:v>
      </x:c>
      <x:c r="T58" s="12" t="n">
        <x:f>IF(G58=1,IF(S58&gt;=0.9,1,0),0)</x:f>
        <x:v>0</x:v>
      </x:c>
      <x:c r="U58" s="12" t="n">
        <x:f>IF(G58=1,IF(S58&gt;R58+0.000001,1,0),0)</x:f>
        <x:v>1</x:v>
      </x:c>
    </x:row>
    <x:row r="59" ht="15" hidden="0" customHeight="1">
      <x:c r="A59" s="2" t="str">
        <x:v>interior300</x:v>
      </x:c>
      <x:c r="B59" s="12" t="n">
        <x:v>1</x:v>
      </x:c>
      <x:c r="C59" s="2" t="str">
        <x:v>indoorcad_b9ff47d438d7d8</x:v>
      </x:c>
      <x:c r="D59" s="8" t="str">
        <x:v>sandalye_SLDASM</x:v>
      </x:c>
      <x:c r="E59" s="2" t="str">
        <x:v>chair</x:v>
      </x:c>
      <x:c r="F59" s="2" t="str">
        <x:v>exhausted</x:v>
      </x:c>
      <x:c r="G59" s="12" t="n">
        <x:v>1</x:v>
      </x:c>
      <x:c r="H59" s="9"/>
      <x:c r="I59" s="9" t="n">
        <x:v>0.229871042101657</x:v>
      </x:c>
      <x:c r="J59" s="13" t="n">
        <x:v>1</x:v>
      </x:c>
      <x:c r="K59" s="13" t="n">
        <x:v>5</x:v>
      </x:c>
      <x:c r="L59" s="13" t="n">
        <x:v>64814</x:v>
      </x:c>
      <x:c r="M59" s="10" t="n">
        <x:v>0.014857475</x:v>
      </x:c>
      <x:c r="N59" s="11" t="n">
        <x:v>203.7857526679988</x:v>
      </x:c>
      <x:c r="O59" s="2" t="str">
        <x:v>indoorcad</x:v>
      </x:c>
      <x:c r="P59" s="2" t="str">
        <x:v>max_iterations</x:v>
      </x:c>
      <x:c r="Q59" s="2" t="str">
        <x:v>17c6e121328762c4097d0d8978cea15660eaf5f3daf76c337f2c765e41fa4322</x:v>
      </x:c>
      <x:c r="R59" s="9" t="n">
        <x:f>IF(G59=1,IF(ISNUMBER(H59),H59,0),"")</x:f>
        <x:v>0</x:v>
      </x:c>
      <x:c r="S59" s="9" t="n">
        <x:f>IF(G59=1,IF(ISNUMBER(I59),I59,0),"")</x:f>
        <x:v>0.229871042101657</x:v>
      </x:c>
      <x:c r="T59" s="12" t="n">
        <x:f>IF(G59=1,IF(S59&gt;=0.9,1,0),0)</x:f>
        <x:v>0</x:v>
      </x:c>
      <x:c r="U59" s="12" t="n">
        <x:f>IF(G59=1,IF(S59&gt;R59+0.000001,1,0),0)</x:f>
        <x:v>1</x:v>
      </x:c>
    </x:row>
    <x:row r="60" ht="15" hidden="0" customHeight="1">
      <x:c r="A60" s="2" t="str">
        <x:v>interior300</x:v>
      </x:c>
      <x:c r="B60" s="12" t="n">
        <x:v>1</x:v>
      </x:c>
      <x:c r="C60" s="2" t="str">
        <x:v>indoorcad_d01348b6804e1b</x:v>
      </x:c>
      <x:c r="D60" s="8" t="str">
        <x:v>Parasol_SLDPRT</x:v>
      </x:c>
      <x:c r="E60" s="2" t="str">
        <x:v>other_furniture</x:v>
      </x:c>
      <x:c r="F60" s="2" t="str">
        <x:v>stalled</x:v>
      </x:c>
      <x:c r="G60" s="12" t="n">
        <x:v>1</x:v>
      </x:c>
      <x:c r="H60" s="9" t="n">
        <x:v>0.01737984928123695</x:v>
      </x:c>
      <x:c r="I60" s="9" t="n">
        <x:v>0.01737984928123695</x:v>
      </x:c>
      <x:c r="J60" s="13" t="n">
        <x:v>1</x:v>
      </x:c>
      <x:c r="K60" s="13" t="n">
        <x:v>4</x:v>
      </x:c>
      <x:c r="L60" s="13" t="n">
        <x:v>46071</x:v>
      </x:c>
      <x:c r="M60" s="10" t="n">
        <x:v>0.01248498</x:v>
      </x:c>
      <x:c r="N60" s="11" t="n">
        <x:v>216.45425291600336</x:v>
      </x:c>
      <x:c r="O60" s="2" t="str">
        <x:v>indoorcad</x:v>
      </x:c>
      <x:c r="P60" s="2" t="str">
        <x:v>no_improvement</x:v>
      </x:c>
      <x:c r="Q60" s="2" t="str">
        <x:v>11d7d340938095fc679cfa0c5974e412ca1c8d2261e039447518811ebeeb056d</x:v>
      </x:c>
      <x:c r="R60" s="9" t="n">
        <x:f>IF(G60=1,IF(ISNUMBER(H60),H60,0),"")</x:f>
        <x:v>0.01737984928123695</x:v>
      </x:c>
      <x:c r="S60" s="9" t="n">
        <x:f>IF(G60=1,IF(ISNUMBER(I60),I60,0),"")</x:f>
        <x:v>0.01737984928123695</x:v>
      </x:c>
      <x:c r="T60" s="12" t="n">
        <x:f>IF(G60=1,IF(S60&gt;=0.9,1,0),0)</x:f>
        <x:v>0</x:v>
      </x:c>
      <x:c r="U60" s="12" t="n">
        <x:f>IF(G60=1,IF(S60&gt;R60+0.000001,1,0),0)</x:f>
        <x:v>0</x:v>
      </x:c>
    </x:row>
    <x:row r="61" ht="15" hidden="0" customHeight="1">
      <x:c r="A61" s="2" t="str">
        <x:v>interior300</x:v>
      </x:c>
      <x:c r="B61" s="12" t="n">
        <x:v>1</x:v>
      </x:c>
      <x:c r="C61" s="2" t="str">
        <x:v>indoorcad_cf8cadc8f0d159</x:v>
      </x:c>
      <x:c r="D61" s="8" t="str">
        <x:v>ДИАНА БМК 120_SLDASM</x:v>
      </x:c>
      <x:c r="E61" s="2" t="str">
        <x:v>bed</x:v>
      </x:c>
      <x:c r="F61" s="2" t="str">
        <x:v>stalled</x:v>
      </x:c>
      <x:c r="G61" s="12" t="n">
        <x:v>1</x:v>
      </x:c>
      <x:c r="H61" s="9" t="n">
        <x:v>0.0030948447522204325</x:v>
      </x:c>
      <x:c r="I61" s="9" t="n">
        <x:v>0.004229249241839801</x:v>
      </x:c>
      <x:c r="J61" s="13" t="n">
        <x:v>1</x:v>
      </x:c>
      <x:c r="K61" s="13" t="n">
        <x:v>4</x:v>
      </x:c>
      <x:c r="L61" s="13" t="n">
        <x:v>41380</x:v>
      </x:c>
      <x:c r="M61" s="10" t="n">
        <x:v>0.010658975000000001</x:v>
      </x:c>
      <x:c r="N61" s="11" t="n">
        <x:v>161.26632095903577</x:v>
      </x:c>
      <x:c r="O61" s="2" t="str">
        <x:v>indoorcad</x:v>
      </x:c>
      <x:c r="P61" s="2" t="str">
        <x:v>no_improvement</x:v>
      </x:c>
      <x:c r="Q61" s="2" t="str">
        <x:v>5094caaeb0af132449b00963e9bfe3b582f714fff83d27b3442b8b08c361aad0</x:v>
      </x:c>
      <x:c r="R61" s="9" t="n">
        <x:f>IF(G61=1,IF(ISNUMBER(H61),H61,0),"")</x:f>
        <x:v>0.0030948447522204325</x:v>
      </x:c>
      <x:c r="S61" s="9" t="n">
        <x:f>IF(G61=1,IF(ISNUMBER(I61),I61,0),"")</x:f>
        <x:v>0.004229249241839801</x:v>
      </x:c>
      <x:c r="T61" s="12" t="n">
        <x:f>IF(G61=1,IF(S61&gt;=0.9,1,0),0)</x:f>
        <x:v>0</x:v>
      </x:c>
      <x:c r="U61" s="12" t="n">
        <x:f>IF(G61=1,IF(S61&gt;R61+0.000001,1,0),0)</x:f>
        <x:v>1</x:v>
      </x:c>
    </x:row>
    <x:row r="62" ht="15" hidden="0" customHeight="1">
      <x:c r="A62" s="2" t="str">
        <x:v>interior300</x:v>
      </x:c>
      <x:c r="B62" s="12" t="n">
        <x:v>1</x:v>
      </x:c>
      <x:c r="C62" s="2" t="str">
        <x:v>indoorcad_e279d77f685f4e</x:v>
      </x:c>
      <x:c r="D62" s="8" t="str">
        <x:v>Bookshelf and Chair_SLDASM</x:v>
      </x:c>
      <x:c r="E62" s="2" t="str">
        <x:v>cabinet</x:v>
      </x:c>
      <x:c r="F62" s="2" t="str">
        <x:v>stalled</x:v>
      </x:c>
      <x:c r="G62" s="12" t="n">
        <x:v>1</x:v>
      </x:c>
      <x:c r="H62" s="9" t="n">
        <x:v>0.5907524547719247</x:v>
      </x:c>
      <x:c r="I62" s="9" t="n">
        <x:v>0.6369134645350375</x:v>
      </x:c>
      <x:c r="J62" s="13" t="n">
        <x:v>1</x:v>
      </x:c>
      <x:c r="K62" s="13" t="n">
        <x:v>5</x:v>
      </x:c>
      <x:c r="L62" s="13" t="n">
        <x:v>52796</x:v>
      </x:c>
      <x:c r="M62" s="10" t="n">
        <x:v>0.013066825</x:v>
      </x:c>
      <x:c r="N62" s="11" t="n">
        <x:v>191.2366904580231</x:v>
      </x:c>
      <x:c r="O62" s="2" t="str">
        <x:v>indoorcad</x:v>
      </x:c>
      <x:c r="P62" s="2" t="str">
        <x:v>no_improvement</x:v>
      </x:c>
      <x:c r="Q62" s="2" t="str">
        <x:v>d5a71fdbadb862cc5e1ef7d7ca19b5974bfab96ce8dc682a2f8388d43be2b6a8</x:v>
      </x:c>
      <x:c r="R62" s="9" t="n">
        <x:f>IF(G62=1,IF(ISNUMBER(H62),H62,0),"")</x:f>
        <x:v>0.5907524547719247</x:v>
      </x:c>
      <x:c r="S62" s="9" t="n">
        <x:f>IF(G62=1,IF(ISNUMBER(I62),I62,0),"")</x:f>
        <x:v>0.6369134645350375</x:v>
      </x:c>
      <x:c r="T62" s="12" t="n">
        <x:f>IF(G62=1,IF(S62&gt;=0.9,1,0),0)</x:f>
        <x:v>0</x:v>
      </x:c>
      <x:c r="U62" s="12" t="n">
        <x:f>IF(G62=1,IF(S62&gt;R62+0.000001,1,0),0)</x:f>
        <x:v>1</x:v>
      </x:c>
    </x:row>
    <x:row r="63" ht="15" hidden="0" customHeight="1">
      <x:c r="A63" s="2" t="str">
        <x:v>interior300</x:v>
      </x:c>
      <x:c r="B63" s="12" t="n">
        <x:v>1</x:v>
      </x:c>
      <x:c r="C63" s="2" t="str">
        <x:v>polyhaven_ceramic_vase_01</x:v>
      </x:c>
      <x:c r="D63" s="8" t="str">
        <x:v>Ceramic Vase 01</x:v>
      </x:c>
      <x:c r="E63" s="2" t="str">
        <x:v>decor</x:v>
      </x:c>
      <x:c r="F63" s="2" t="str">
        <x:v>exhausted</x:v>
      </x:c>
      <x:c r="G63" s="12" t="n">
        <x:v>1</x:v>
      </x:c>
      <x:c r="H63" s="9" t="n">
        <x:v>0.30561857483712435</x:v>
      </x:c>
      <x:c r="I63" s="9" t="n">
        <x:v>0.36995087176398056</x:v>
      </x:c>
      <x:c r="J63" s="13" t="n">
        <x:v>1</x:v>
      </x:c>
      <x:c r="K63" s="13" t="n">
        <x:v>5</x:v>
      </x:c>
      <x:c r="L63" s="13" t="n">
        <x:v>45333</x:v>
      </x:c>
      <x:c r="M63" s="10" t="n">
        <x:v>0.009878325</x:v>
      </x:c>
      <x:c r="N63" s="11" t="n">
        <x:v>147.2055701669968</x:v>
      </x:c>
      <x:c r="O63" s="2" t="str">
        <x:v>polyhaven</x:v>
      </x:c>
      <x:c r="P63" s="2" t="str">
        <x:v>max_iterations</x:v>
      </x:c>
      <x:c r="Q63" s="2" t="str">
        <x:v>ad0bab1a165c421eb9a78ffb8e27fb859dab81c9faeafff7335f15e170e3dd66</x:v>
      </x:c>
      <x:c r="R63" s="9" t="n">
        <x:f>IF(G63=1,IF(ISNUMBER(H63),H63,0),"")</x:f>
        <x:v>0.30561857483712435</x:v>
      </x:c>
      <x:c r="S63" s="9" t="n">
        <x:f>IF(G63=1,IF(ISNUMBER(I63),I63,0),"")</x:f>
        <x:v>0.36995087176398056</x:v>
      </x:c>
      <x:c r="T63" s="12" t="n">
        <x:f>IF(G63=1,IF(S63&gt;=0.9,1,0),0)</x:f>
        <x:v>0</x:v>
      </x:c>
      <x:c r="U63" s="12" t="n">
        <x:f>IF(G63=1,IF(S63&gt;R63+0.000001,1,0),0)</x:f>
        <x:v>1</x:v>
      </x:c>
    </x:row>
    <x:row r="64" ht="15" hidden="0" customHeight="1">
      <x:c r="A64" s="2" t="str">
        <x:v>interior300</x:v>
      </x:c>
      <x:c r="B64" s="12" t="n">
        <x:v>1</x:v>
      </x:c>
      <x:c r="C64" s="2" t="str">
        <x:v>indoorcad_19c41c9a7d098d</x:v>
      </x:c>
      <x:c r="D64" s="8" t="str">
        <x:v>2372 fire pit_STP</x:v>
      </x:c>
      <x:c r="E64" s="2" t="str">
        <x:v>desktop_object</x:v>
      </x:c>
      <x:c r="F64" s="2" t="str">
        <x:v>exhausted</x:v>
      </x:c>
      <x:c r="G64" s="12" t="n">
        <x:v>1</x:v>
      </x:c>
      <x:c r="H64" s="9" t="n">
        <x:v>0.001912958411352078</x:v>
      </x:c>
      <x:c r="I64" s="9" t="n">
        <x:v>0.011423483219933611</x:v>
      </x:c>
      <x:c r="J64" s="13" t="n">
        <x:v>1</x:v>
      </x:c>
      <x:c r="K64" s="13" t="n">
        <x:v>5</x:v>
      </x:c>
      <x:c r="L64" s="13" t="n">
        <x:v>65237</x:v>
      </x:c>
      <x:c r="M64" s="10" t="n">
        <x:v>0.0164965</x:v>
      </x:c>
      <x:c r="N64" s="11" t="n">
        <x:v>281.8486636260125</x:v>
      </x:c>
      <x:c r="O64" s="2" t="str">
        <x:v>indoorcad</x:v>
      </x:c>
      <x:c r="P64" s="2" t="str">
        <x:v>max_iterations</x:v>
      </x:c>
      <x:c r="Q64" s="2" t="str">
        <x:v>a5e401d7ac6dd53fb552e106f64e7da5a471810996a53a5fe1df4281cabd4dcd</x:v>
      </x:c>
      <x:c r="R64" s="9" t="n">
        <x:f>IF(G64=1,IF(ISNUMBER(H64),H64,0),"")</x:f>
        <x:v>0.001912958411352078</x:v>
      </x:c>
      <x:c r="S64" s="9" t="n">
        <x:f>IF(G64=1,IF(ISNUMBER(I64),I64,0),"")</x:f>
        <x:v>0.011423483219933611</x:v>
      </x:c>
      <x:c r="T64" s="12" t="n">
        <x:f>IF(G64=1,IF(S64&gt;=0.9,1,0),0)</x:f>
        <x:v>0</x:v>
      </x:c>
      <x:c r="U64" s="12" t="n">
        <x:f>IF(G64=1,IF(S64&gt;R64+0.000001,1,0),0)</x:f>
        <x:v>1</x:v>
      </x:c>
    </x:row>
    <x:row r="65" ht="15" hidden="0" customHeight="1">
      <x:c r="A65" s="2" t="str">
        <x:v>interior300</x:v>
      </x:c>
      <x:c r="B65" s="12" t="n">
        <x:v>1</x:v>
      </x:c>
      <x:c r="C65" s="2" t="str">
        <x:v>indoorcad_5a939f4f1cff34</x:v>
      </x:c>
      <x:c r="D65" s="8" t="str">
        <x:v>LAMPP_STP</x:v>
      </x:c>
      <x:c r="E65" s="2" t="str">
        <x:v>lamp</x:v>
      </x:c>
      <x:c r="F65" s="2" t="str">
        <x:v>stalled</x:v>
      </x:c>
      <x:c r="G65" s="12" t="n">
        <x:v>1</x:v>
      </x:c>
      <x:c r="H65" s="9" t="n">
        <x:v>0.19852781039108944</x:v>
      </x:c>
      <x:c r="I65" s="9" t="n">
        <x:v>0.2629135184181202</x:v>
      </x:c>
      <x:c r="J65" s="13" t="n">
        <x:v>1</x:v>
      </x:c>
      <x:c r="K65" s="13" t="n">
        <x:v>5</x:v>
      </x:c>
      <x:c r="L65" s="13" t="n">
        <x:v>42228</x:v>
      </x:c>
      <x:c r="M65" s="10" t="n">
        <x:v>0.008715825</x:v>
      </x:c>
      <x:c r="N65" s="11" t="n">
        <x:v>136.06610479300016</x:v>
      </x:c>
      <x:c r="O65" s="2" t="str">
        <x:v>indoorcad</x:v>
      </x:c>
      <x:c r="P65" s="2" t="str">
        <x:v>no_improvement</x:v>
      </x:c>
      <x:c r="Q65" s="2" t="str">
        <x:v>b3c9e4ce9af8bd4bead609d7d6db22fe395f34e9d64fe3f12f16b67735ed859c</x:v>
      </x:c>
      <x:c r="R65" s="9" t="n">
        <x:f>IF(G65=1,IF(ISNUMBER(H65),H65,0),"")</x:f>
        <x:v>0.19852781039108944</x:v>
      </x:c>
      <x:c r="S65" s="9" t="n">
        <x:f>IF(G65=1,IF(ISNUMBER(I65),I65,0),"")</x:f>
        <x:v>0.2629135184181202</x:v>
      </x:c>
      <x:c r="T65" s="12" t="n">
        <x:f>IF(G65=1,IF(S65&gt;=0.9,1,0),0)</x:f>
        <x:v>0</x:v>
      </x:c>
      <x:c r="U65" s="12" t="n">
        <x:f>IF(G65=1,IF(S65&gt;R65+0.000001,1,0),0)</x:f>
        <x:v>1</x:v>
      </x:c>
    </x:row>
    <x:row r="66" ht="15" hidden="0" customHeight="1">
      <x:c r="A66" s="2" t="str">
        <x:v>interior300</x:v>
      </x:c>
      <x:c r="B66" s="12" t="n">
        <x:v>1</x:v>
      </x:c>
      <x:c r="C66" s="2" t="str">
        <x:v>indoorcad_c120864ce3d53c</x:v>
      </x:c>
      <x:c r="D66" s="8" t="str">
        <x:v>agsfdghfas-171cherry_SLDPRT</x:v>
      </x:c>
      <x:c r="E66" s="2" t="str">
        <x:v>sofa</x:v>
      </x:c>
      <x:c r="F66" s="2" t="str">
        <x:v>exhausted</x:v>
      </x:c>
      <x:c r="G66" s="12" t="n">
        <x:v>1</x:v>
      </x:c>
      <x:c r="H66" s="9" t="n">
        <x:v>0.11707328352263477</x:v>
      </x:c>
      <x:c r="I66" s="9" t="n">
        <x:v>0.3289178088530996</x:v>
      </x:c>
      <x:c r="J66" s="13" t="n">
        <x:v>1</x:v>
      </x:c>
      <x:c r="K66" s="13" t="n">
        <x:v>5</x:v>
      </x:c>
      <x:c r="L66" s="13" t="n">
        <x:v>50730</x:v>
      </x:c>
      <x:c r="M66" s="10" t="n">
        <x:v>0.011350949999999999</x:v>
      </x:c>
      <x:c r="N66" s="11" t="n">
        <x:v>228.8685322910156</x:v>
      </x:c>
      <x:c r="O66" s="2" t="str">
        <x:v>indoorcad</x:v>
      </x:c>
      <x:c r="P66" s="2" t="str">
        <x:v>max_iterations</x:v>
      </x:c>
      <x:c r="Q66" s="2" t="str">
        <x:v>641602d424ff51766993e6953ac656da63d4a02f5891df22b35afe85b6f71ca0</x:v>
      </x:c>
      <x:c r="R66" s="9" t="n">
        <x:f>IF(G66=1,IF(ISNUMBER(H66),H66,0),"")</x:f>
        <x:v>0.11707328352263477</x:v>
      </x:c>
      <x:c r="S66" s="9" t="n">
        <x:f>IF(G66=1,IF(ISNUMBER(I66),I66,0),"")</x:f>
        <x:v>0.3289178088530996</x:v>
      </x:c>
      <x:c r="T66" s="12" t="n">
        <x:f>IF(G66=1,IF(S66&gt;=0.9,1,0),0)</x:f>
        <x:v>0</x:v>
      </x:c>
      <x:c r="U66" s="12" t="n">
        <x:f>IF(G66=1,IF(S66&gt;R66+0.000001,1,0),0)</x:f>
        <x:v>1</x:v>
      </x:c>
    </x:row>
    <x:row r="67" ht="15" hidden="0" customHeight="1">
      <x:c r="A67" s="2" t="str">
        <x:v>interior300</x:v>
      </x:c>
      <x:c r="B67" s="12" t="n">
        <x:v>1</x:v>
      </x:c>
      <x:c r="C67" s="2" t="str">
        <x:v>indoorcad_0a7e4d58c1f613</x:v>
      </x:c>
      <x:c r="D67" s="8" t="str">
        <x:v>Work desk 1 Assembly_SLDASM</x:v>
      </x:c>
      <x:c r="E67" s="2" t="str">
        <x:v>table</x:v>
      </x:c>
      <x:c r="F67" s="2" t="str">
        <x:v>exhausted</x:v>
      </x:c>
      <x:c r="G67" s="12" t="n">
        <x:v>1</x:v>
      </x:c>
      <x:c r="H67" s="9" t="n">
        <x:v>0.11390958829194156</x:v>
      </x:c>
      <x:c r="I67" s="9" t="n">
        <x:v>0.24744747561693337</x:v>
      </x:c>
      <x:c r="J67" s="13" t="n">
        <x:v>1</x:v>
      </x:c>
      <x:c r="K67" s="13" t="n">
        <x:v>5</x:v>
      </x:c>
      <x:c r="L67" s="13" t="n">
        <x:v>55294</x:v>
      </x:c>
      <x:c r="M67" s="10" t="n">
        <x:v>0.013768325</x:v>
      </x:c>
      <x:c r="N67" s="11" t="n">
        <x:v>210.2034991659955</x:v>
      </x:c>
      <x:c r="O67" s="2" t="str">
        <x:v>indoorcad</x:v>
      </x:c>
      <x:c r="P67" s="2" t="str">
        <x:v>max_iterations</x:v>
      </x:c>
      <x:c r="Q67" s="2" t="str">
        <x:v>d4ce26db5a253c2f7597b3221f22af583e74e6b05dd1106f7e104c1af0ffd29a</x:v>
      </x:c>
      <x:c r="R67" s="9" t="n">
        <x:f>IF(G67=1,IF(ISNUMBER(H67),H67,0),"")</x:f>
        <x:v>0.11390958829194156</x:v>
      </x:c>
      <x:c r="S67" s="9" t="n">
        <x:f>IF(G67=1,IF(ISNUMBER(I67),I67,0),"")</x:f>
        <x:v>0.24744747561693337</x:v>
      </x:c>
      <x:c r="T67" s="12" t="n">
        <x:f>IF(G67=1,IF(S67&gt;=0.9,1,0),0)</x:f>
        <x:v>0</x:v>
      </x:c>
      <x:c r="U67" s="12" t="n">
        <x:f>IF(G67=1,IF(S67&gt;R67+0.000001,1,0),0)</x:f>
        <x:v>1</x:v>
      </x:c>
    </x:row>
    <x:row r="68" ht="15" hidden="0" customHeight="1">
      <x:c r="A68" s="2" t="str">
        <x:v>interior300</x:v>
      </x:c>
      <x:c r="B68" s="12" t="n">
        <x:v>1</x:v>
      </x:c>
      <x:c r="C68" s="2" t="str">
        <x:v>polyhaven_dining_table</x:v>
      </x:c>
      <x:c r="D68" s="8" t="str">
        <x:v>Dining Table</x:v>
      </x:c>
      <x:c r="E68" s="2" t="str">
        <x:v>furniture</x:v>
      </x:c>
      <x:c r="F68" s="2" t="str">
        <x:v>stalled</x:v>
      </x:c>
      <x:c r="G68" s="12" t="n">
        <x:v>1</x:v>
      </x:c>
      <x:c r="H68" s="9" t="n">
        <x:v>0.01186557604724146</x:v>
      </x:c>
      <x:c r="I68" s="9" t="n">
        <x:v>0.6057575185190559</x:v>
      </x:c>
      <x:c r="J68" s="13" t="n">
        <x:v>1</x:v>
      </x:c>
      <x:c r="K68" s="13" t="n">
        <x:v>5</x:v>
      </x:c>
      <x:c r="L68" s="13" t="n">
        <x:v>45022</x:v>
      </x:c>
      <x:c r="M68" s="10" t="n">
        <x:v>0.010236199999999999</x:v>
      </x:c>
      <x:c r="N68" s="11" t="n">
        <x:v>159.33647204298094</x:v>
      </x:c>
      <x:c r="O68" s="2" t="str">
        <x:v>polyhaven</x:v>
      </x:c>
      <x:c r="P68" s="2" t="str">
        <x:v>no_improvement</x:v>
      </x:c>
      <x:c r="Q68" s="2" t="str">
        <x:v>2561eb946c40566fc63976bcf553503e5dfd5eb26c7bbcc509914bc88f70f6af</x:v>
      </x:c>
      <x:c r="R68" s="9" t="n">
        <x:f>IF(G68=1,IF(ISNUMBER(H68),H68,0),"")</x:f>
        <x:v>0.01186557604724146</x:v>
      </x:c>
      <x:c r="S68" s="9" t="n">
        <x:f>IF(G68=1,IF(ISNUMBER(I68),I68,0),"")</x:f>
        <x:v>0.6057575185190559</x:v>
      </x:c>
      <x:c r="T68" s="12" t="n">
        <x:f>IF(G68=1,IF(S68&gt;=0.9,1,0),0)</x:f>
        <x:v>0</x:v>
      </x:c>
      <x:c r="U68" s="12" t="n">
        <x:f>IF(G68=1,IF(S68&gt;R68+0.000001,1,0),0)</x:f>
        <x:v>1</x:v>
      </x:c>
    </x:row>
    <x:row r="69" ht="15" hidden="0" customHeight="1">
      <x:c r="A69" s="2" t="str">
        <x:v>interior300</x:v>
      </x:c>
      <x:c r="B69" s="12" t="n">
        <x:v>2</x:v>
      </x:c>
      <x:c r="C69" s="2" t="str">
        <x:v>indoorcad_307532cfedaede</x:v>
      </x:c>
      <x:c r="D69" s="8" t="str">
        <x:v>comfort chair_SLDPRT</x:v>
      </x:c>
      <x:c r="E69" s="2" t="str">
        <x:v>chair</x:v>
      </x:c>
      <x:c r="F69" s="2" t="str">
        <x:v>stalled</x:v>
      </x:c>
      <x:c r="G69" s="12" t="n">
        <x:v>1</x:v>
      </x:c>
      <x:c r="H69" s="9"/>
      <x:c r="I69" s="9"/>
      <x:c r="J69" s="13" t="n">
        <x:v>0</x:v>
      </x:c>
      <x:c r="K69" s="13" t="n">
        <x:v>3</x:v>
      </x:c>
      <x:c r="L69" s="13" t="n">
        <x:v>21235</x:v>
      </x:c>
      <x:c r="M69" s="10" t="n">
        <x:v>0.005618235</x:v>
      </x:c>
      <x:c r="N69" s="11" t="n">
        <x:v>94.60605733398768</x:v>
      </x:c>
      <x:c r="O69" s="2" t="str">
        <x:v>indoorcad</x:v>
      </x:c>
      <x:c r="P69" s="2" t="str">
        <x:v>no_improvement</x:v>
      </x:c>
      <x:c r="Q69" s="2" t="str">
        <x:v>c434873f5fdb98a4c7bcfc80eb3ce8101228f682d444ce6658d876d91b5f20e4</x:v>
      </x:c>
      <x:c r="R69" s="9" t="n">
        <x:f>IF(G69=1,IF(ISNUMBER(H69),H69,0),"")</x:f>
        <x:v>0</x:v>
      </x:c>
      <x:c r="S69" s="9" t="n">
        <x:f>IF(G69=1,IF(ISNUMBER(I69),I69,0),"")</x:f>
        <x:v>0</x:v>
      </x:c>
      <x:c r="T69" s="12" t="n">
        <x:f>IF(G69=1,IF(S69&gt;=0.9,1,0),0)</x:f>
        <x:v>0</x:v>
      </x:c>
      <x:c r="U69" s="12" t="n">
        <x:f>IF(G69=1,IF(S69&gt;R69+0.000001,1,0),0)</x:f>
        <x:v>0</x:v>
      </x:c>
    </x:row>
    <x:row r="70" ht="15" hidden="0" customHeight="1">
      <x:c r="A70" s="2" t="str">
        <x:v>interior300</x:v>
      </x:c>
      <x:c r="B70" s="12" t="n">
        <x:v>2</x:v>
      </x:c>
      <x:c r="C70" s="2" t="str">
        <x:v>indoorcad_2d1ec9288139ae</x:v>
      </x:c>
      <x:c r="D70" s="8" t="str">
        <x:v>OSMANLI DESEN_SLDPRT</x:v>
      </x:c>
      <x:c r="E70" s="2" t="str">
        <x:v>other_furniture</x:v>
      </x:c>
      <x:c r="F70" s="2" t="str">
        <x:v>exhausted</x:v>
      </x:c>
      <x:c r="G70" s="12" t="n">
        <x:v>1</x:v>
      </x:c>
      <x:c r="H70" s="9"/>
      <x:c r="I70" s="9" t="n">
        <x:v>0.4956388895744815</x:v>
      </x:c>
      <x:c r="J70" s="13" t="n">
        <x:v>1</x:v>
      </x:c>
      <x:c r="K70" s="13" t="n">
        <x:v>5</x:v>
      </x:c>
      <x:c r="L70" s="13" t="n">
        <x:v>37950</x:v>
      </x:c>
      <x:c r="M70" s="10" t="n">
        <x:v>0.00827779</x:v>
      </x:c>
      <x:c r="N70" s="11" t="n">
        <x:v>168.00590351651866</x:v>
      </x:c>
      <x:c r="O70" s="2" t="str">
        <x:v>indoorcad</x:v>
      </x:c>
      <x:c r="P70" s="2" t="str">
        <x:v>max_iterations</x:v>
      </x:c>
      <x:c r="Q70" s="2" t="str">
        <x:v>2ebeb174bf8d1923569c86e46bb2a20df64ebe991e7875861ec823faaf26c0f2</x:v>
      </x:c>
      <x:c r="R70" s="9" t="n">
        <x:f>IF(G70=1,IF(ISNUMBER(H70),H70,0),"")</x:f>
        <x:v>0</x:v>
      </x:c>
      <x:c r="S70" s="9" t="n">
        <x:f>IF(G70=1,IF(ISNUMBER(I70),I70,0),"")</x:f>
        <x:v>0.4956388895744815</x:v>
      </x:c>
      <x:c r="T70" s="12" t="n">
        <x:f>IF(G70=1,IF(S70&gt;=0.9,1,0),0)</x:f>
        <x:v>0</x:v>
      </x:c>
      <x:c r="U70" s="12" t="n">
        <x:f>IF(G70=1,IF(S70&gt;R70+0.000001,1,0),0)</x:f>
        <x:v>1</x:v>
      </x:c>
    </x:row>
    <x:row r="71" ht="15" hidden="0" customHeight="1">
      <x:c r="A71" s="2" t="str">
        <x:v>interior300</x:v>
      </x:c>
      <x:c r="B71" s="12" t="n">
        <x:v>2</x:v>
      </x:c>
      <x:c r="C71" s="2" t="str">
        <x:v>indoorcad_c7448ec7792a4c</x:v>
      </x:c>
      <x:c r="D71" s="8" t="str">
        <x:v>krevet bele vode_SLDPRT</x:v>
      </x:c>
      <x:c r="E71" s="2" t="str">
        <x:v>bed</x:v>
      </x:c>
      <x:c r="F71" s="2" t="str">
        <x:v>exhausted</x:v>
      </x:c>
      <x:c r="G71" s="12" t="n">
        <x:v>1</x:v>
      </x:c>
      <x:c r="H71" s="9" t="n">
        <x:v>0.07326631718011636</x:v>
      </x:c>
      <x:c r="I71" s="9" t="n">
        <x:v>0.4686763655785863</x:v>
      </x:c>
      <x:c r="J71" s="13" t="n">
        <x:v>1</x:v>
      </x:c>
      <x:c r="K71" s="13" t="n">
        <x:v>5</x:v>
      </x:c>
      <x:c r="L71" s="13" t="n">
        <x:v>47319</x:v>
      </x:c>
      <x:c r="M71" s="10" t="n">
        <x:v>0.0119067</x:v>
      </x:c>
      <x:c r="N71" s="11" t="n">
        <x:v>184.1658245430151</x:v>
      </x:c>
      <x:c r="O71" s="2" t="str">
        <x:v>indoorcad</x:v>
      </x:c>
      <x:c r="P71" s="2" t="str">
        <x:v>max_iterations</x:v>
      </x:c>
      <x:c r="Q71" s="2" t="str">
        <x:v>375e80d457d762da3c900a63b3bced1ab4ebd2c20c9f6e46d986eab08ae78e60</x:v>
      </x:c>
      <x:c r="R71" s="9" t="n">
        <x:f>IF(G71=1,IF(ISNUMBER(H71),H71,0),"")</x:f>
        <x:v>0.07326631718011636</x:v>
      </x:c>
      <x:c r="S71" s="9" t="n">
        <x:f>IF(G71=1,IF(ISNUMBER(I71),I71,0),"")</x:f>
        <x:v>0.4686763655785863</x:v>
      </x:c>
      <x:c r="T71" s="12" t="n">
        <x:f>IF(G71=1,IF(S71&gt;=0.9,1,0),0)</x:f>
        <x:v>0</x:v>
      </x:c>
      <x:c r="U71" s="12" t="n">
        <x:f>IF(G71=1,IF(S71&gt;R71+0.000001,1,0),0)</x:f>
        <x:v>1</x:v>
      </x:c>
    </x:row>
    <x:row r="72" ht="15" hidden="0" customHeight="1">
      <x:c r="A72" s="2" t="str">
        <x:v>interior300</x:v>
      </x:c>
      <x:c r="B72" s="12" t="n">
        <x:v>2</x:v>
      </x:c>
      <x:c r="C72" s="2" t="str">
        <x:v>indoorcad_72027a1b808a0a</x:v>
      </x:c>
      <x:c r="D72" s="8" t="str">
        <x:v>TV-tafel_SLDPRT</x:v>
      </x:c>
      <x:c r="E72" s="2" t="str">
        <x:v>cabinet</x:v>
      </x:c>
      <x:c r="F72" s="2" t="str">
        <x:v>exhausted</x:v>
      </x:c>
      <x:c r="G72" s="12" t="n">
        <x:v>1</x:v>
      </x:c>
      <x:c r="H72" s="9" t="n">
        <x:v>0.18216351305486464</x:v>
      </x:c>
      <x:c r="I72" s="9" t="n">
        <x:v>0.2166762169765596</x:v>
      </x:c>
      <x:c r="J72" s="13" t="n">
        <x:v>1</x:v>
      </x:c>
      <x:c r="K72" s="13" t="n">
        <x:v>5</x:v>
      </x:c>
      <x:c r="L72" s="13" t="n">
        <x:v>52652</x:v>
      </x:c>
      <x:c r="M72" s="10" t="n">
        <x:v>0.0123232</x:v>
      </x:c>
      <x:c r="N72" s="11" t="n">
        <x:v>179.06743175000977</x:v>
      </x:c>
      <x:c r="O72" s="2" t="str">
        <x:v>indoorcad</x:v>
      </x:c>
      <x:c r="P72" s="2" t="str">
        <x:v>max_iterations</x:v>
      </x:c>
      <x:c r="Q72" s="2" t="str">
        <x:v>abe90efcc4e426d85a5bc73183f7af33df75ea4847837fae4d1f184e89ce4fbc</x:v>
      </x:c>
      <x:c r="R72" s="9" t="n">
        <x:f>IF(G72=1,IF(ISNUMBER(H72),H72,0),"")</x:f>
        <x:v>0.18216351305486464</x:v>
      </x:c>
      <x:c r="S72" s="9" t="n">
        <x:f>IF(G72=1,IF(ISNUMBER(I72),I72,0),"")</x:f>
        <x:v>0.2166762169765596</x:v>
      </x:c>
      <x:c r="T72" s="12" t="n">
        <x:f>IF(G72=1,IF(S72&gt;=0.9,1,0),0)</x:f>
        <x:v>0</x:v>
      </x:c>
      <x:c r="U72" s="12" t="n">
        <x:f>IF(G72=1,IF(S72&gt;R72+0.000001,1,0),0)</x:f>
        <x:v>1</x:v>
      </x:c>
    </x:row>
    <x:row r="73" ht="15" hidden="0" customHeight="1">
      <x:c r="A73" s="2" t="str">
        <x:v>interior300</x:v>
      </x:c>
      <x:c r="B73" s="12" t="n">
        <x:v>2</x:v>
      </x:c>
      <x:c r="C73" s="2" t="str">
        <x:v>polyhaven_industrial_wall_lamp</x:v>
      </x:c>
      <x:c r="D73" s="8" t="str">
        <x:v>Industrial Wall Lamp</x:v>
      </x:c>
      <x:c r="E73" s="2" t="str">
        <x:v>lamp</x:v>
      </x:c>
      <x:c r="F73" s="2" t="str">
        <x:v>stalled</x:v>
      </x:c>
      <x:c r="G73" s="12" t="n">
        <x:v>1</x:v>
      </x:c>
      <x:c r="H73" s="9" t="n">
        <x:v>0.8308869304460083</x:v>
      </x:c>
      <x:c r="I73" s="9" t="n">
        <x:v>0.8308869304460083</x:v>
      </x:c>
      <x:c r="J73" s="13" t="n">
        <x:v>1</x:v>
      </x:c>
      <x:c r="K73" s="13" t="n">
        <x:v>4</x:v>
      </x:c>
      <x:c r="L73" s="13" t="n">
        <x:v>40082</x:v>
      </x:c>
      <x:c r="M73" s="10" t="n">
        <x:v>0.0093931</x:v>
      </x:c>
      <x:c r="N73" s="11" t="n">
        <x:v>147.74446620702034</x:v>
      </x:c>
      <x:c r="O73" s="2" t="str">
        <x:v>polyhaven</x:v>
      </x:c>
      <x:c r="P73" s="2" t="str">
        <x:v>no_improvement</x:v>
      </x:c>
      <x:c r="Q73" s="2" t="str">
        <x:v>1655f9aec81f34f4f2015a4c47427a96e5395c555f895e784ca8b13b13fff1dc</x:v>
      </x:c>
      <x:c r="R73" s="9" t="n">
        <x:f>IF(G73=1,IF(ISNUMBER(H73),H73,0),"")</x:f>
        <x:v>0.8308869304460083</x:v>
      </x:c>
      <x:c r="S73" s="9" t="n">
        <x:f>IF(G73=1,IF(ISNUMBER(I73),I73,0),"")</x:f>
        <x:v>0.8308869304460083</x:v>
      </x:c>
      <x:c r="T73" s="12" t="n">
        <x:f>IF(G73=1,IF(S73&gt;=0.9,1,0),0)</x:f>
        <x:v>0</x:v>
      </x:c>
      <x:c r="U73" s="12" t="n">
        <x:f>IF(G73=1,IF(S73&gt;R73+0.000001,1,0),0)</x:f>
        <x:v>0</x:v>
      </x:c>
    </x:row>
    <x:row r="74" ht="15" hidden="0" customHeight="1">
      <x:c r="A74" s="2" t="str">
        <x:v>interior300</x:v>
      </x:c>
      <x:c r="B74" s="12" t="n">
        <x:v>2</x:v>
      </x:c>
      <x:c r="C74" s="2" t="str">
        <x:v>indoorcad_2b5343c51f0551</x:v>
      </x:c>
      <x:c r="D74" s="8" t="str">
        <x:v>SUPORTE CELULAR FINAL_STEP</x:v>
      </x:c>
      <x:c r="E74" s="2" t="str">
        <x:v>desktop_object</x:v>
      </x:c>
      <x:c r="F74" s="2" t="str">
        <x:v>stalled</x:v>
      </x:c>
      <x:c r="G74" s="12" t="n">
        <x:v>1</x:v>
      </x:c>
      <x:c r="H74" s="9"/>
      <x:c r="I74" s="9"/>
      <x:c r="J74" s="13" t="n">
        <x:v>1</x:v>
      </x:c>
      <x:c r="K74" s="13" t="n">
        <x:v>3</x:v>
      </x:c>
      <x:c r="L74" s="13" t="n">
        <x:v>21591</x:v>
      </x:c>
      <x:c r="M74" s="10" t="n">
        <x:v>0.005687625</x:v>
      </x:c>
      <x:c r="N74" s="11" t="n">
        <x:v>96.99893887401954</x:v>
      </x:c>
      <x:c r="O74" s="2" t="str">
        <x:v>indoorcad</x:v>
      </x:c>
      <x:c r="P74" s="2" t="str">
        <x:v>no_improvement</x:v>
      </x:c>
      <x:c r="Q74" s="2" t="str">
        <x:v>5e9816a6bfd522a2df9569f55a79fef86bf3869d91c88ffebeb1f6226061ad22</x:v>
      </x:c>
      <x:c r="R74" s="9" t="n">
        <x:f>IF(G74=1,IF(ISNUMBER(H74),H74,0),"")</x:f>
        <x:v>0</x:v>
      </x:c>
      <x:c r="S74" s="9" t="n">
        <x:f>IF(G74=1,IF(ISNUMBER(I74),I74,0),"")</x:f>
        <x:v>0</x:v>
      </x:c>
      <x:c r="T74" s="12" t="n">
        <x:f>IF(G74=1,IF(S74&gt;=0.9,1,0),0)</x:f>
        <x:v>0</x:v>
      </x:c>
      <x:c r="U74" s="12" t="n">
        <x:f>IF(G74=1,IF(S74&gt;R74+0.000001,1,0),0)</x:f>
        <x:v>0</x:v>
      </x:c>
    </x:row>
    <x:row r="75" ht="15" hidden="0" customHeight="1">
      <x:c r="A75" s="2" t="str">
        <x:v>interior300</x:v>
      </x:c>
      <x:c r="B75" s="12" t="n">
        <x:v>2</x:v>
      </x:c>
      <x:c r="C75" s="2" t="str">
        <x:v>indoorcad_f430afdf6c2012</x:v>
      </x:c>
      <x:c r="D75" s="8" t="str">
        <x:v>Vidinis_skydas_MIR_Komoda_SLDPRT</x:v>
      </x:c>
      <x:c r="E75" s="2" t="str">
        <x:v>lamp</x:v>
      </x:c>
      <x:c r="F75" s="2" t="str">
        <x:v>success</x:v>
      </x:c>
      <x:c r="G75" s="12" t="n">
        <x:v>1</x:v>
      </x:c>
      <x:c r="H75" s="9" t="n">
        <x:v>0.9972595682306582</x:v>
      </x:c>
      <x:c r="I75" s="9" t="n">
        <x:v>0.9972595682306582</x:v>
      </x:c>
      <x:c r="J75" s="13" t="n">
        <x:v>1</x:v>
      </x:c>
      <x:c r="K75" s="13" t="n">
        <x:v>1</x:v>
      </x:c>
      <x:c r="L75" s="13" t="n">
        <x:v>3834</x:v>
      </x:c>
      <x:c r="M75" s="10" t="n">
        <x:v>0.001088925</x:v>
      </x:c>
      <x:c r="N75" s="11" t="n">
        <x:v>19.764490499991226</x:v>
      </x:c>
      <x:c r="O75" s="2" t="str">
        <x:v>indoorcad</x:v>
      </x:c>
      <x:c r="P75" s="2" t="str">
        <x:v>target_iou</x:v>
      </x:c>
      <x:c r="Q75" s="2" t="str">
        <x:v>5e714df1c56bac35b17414e10c82aef05147644661c201c7c0dfbb70d346eb0b</x:v>
      </x:c>
      <x:c r="R75" s="9" t="n">
        <x:f>IF(G75=1,IF(ISNUMBER(H75),H75,0),"")</x:f>
        <x:v>0.9972595682306582</x:v>
      </x:c>
      <x:c r="S75" s="9" t="n">
        <x:f>IF(G75=1,IF(ISNUMBER(I75),I75,0),"")</x:f>
        <x:v>0.9972595682306582</x:v>
      </x:c>
      <x:c r="T75" s="12" t="n">
        <x:f>IF(G75=1,IF(S75&gt;=0.9,1,0),0)</x:f>
        <x:v>1</x:v>
      </x:c>
      <x:c r="U75" s="12" t="n">
        <x:f>IF(G75=1,IF(S75&gt;R75+0.000001,1,0),0)</x:f>
        <x:v>0</x:v>
      </x:c>
    </x:row>
    <x:row r="76" ht="15" hidden="0" customHeight="1">
      <x:c r="A76" s="2" t="str">
        <x:v>interior300</x:v>
      </x:c>
      <x:c r="B76" s="12" t="n">
        <x:v>2</x:v>
      </x:c>
      <x:c r="C76" s="2" t="str">
        <x:v>indoorcad_cd093c25223f9d</x:v>
      </x:c>
      <x:c r="D76" s="8" t="str">
        <x:v>RICHARD merx_SLDPRT</x:v>
      </x:c>
      <x:c r="E76" s="2" t="str">
        <x:v>sofa</x:v>
      </x:c>
      <x:c r="F76" s="2" t="str">
        <x:v>stalled</x:v>
      </x:c>
      <x:c r="G76" s="12" t="n">
        <x:v>1</x:v>
      </x:c>
      <x:c r="H76" s="9" t="n">
        <x:v>0.3560186254040925</x:v>
      </x:c>
      <x:c r="I76" s="9" t="n">
        <x:v>0.3560186254040925</x:v>
      </x:c>
      <x:c r="J76" s="13" t="n">
        <x:v>1</x:v>
      </x:c>
      <x:c r="K76" s="13" t="n">
        <x:v>4</x:v>
      </x:c>
      <x:c r="L76" s="13" t="n">
        <x:v>35033</x:v>
      </x:c>
      <x:c r="M76" s="10" t="n">
        <x:v>0.008014225</x:v>
      </x:c>
      <x:c r="N76" s="11" t="n">
        <x:v>140.83397270801825</x:v>
      </x:c>
      <x:c r="O76" s="2" t="str">
        <x:v>indoorcad</x:v>
      </x:c>
      <x:c r="P76" s="2" t="str">
        <x:v>no_improvement</x:v>
      </x:c>
      <x:c r="Q76" s="2" t="str">
        <x:v>65a443a15dca6598a2ed4dc0ffde6d4510ec618610646f0da831186b3d729140</x:v>
      </x:c>
      <x:c r="R76" s="9" t="n">
        <x:f>IF(G76=1,IF(ISNUMBER(H76),H76,0),"")</x:f>
        <x:v>0.3560186254040925</x:v>
      </x:c>
      <x:c r="S76" s="9" t="n">
        <x:f>IF(G76=1,IF(ISNUMBER(I76),I76,0),"")</x:f>
        <x:v>0.3560186254040925</x:v>
      </x:c>
      <x:c r="T76" s="12" t="n">
        <x:f>IF(G76=1,IF(S76&gt;=0.9,1,0),0)</x:f>
        <x:v>0</x:v>
      </x:c>
      <x:c r="U76" s="12" t="n">
        <x:f>IF(G76=1,IF(S76&gt;R76+0.000001,1,0),0)</x:f>
        <x:v>0</x:v>
      </x:c>
    </x:row>
    <x:row r="77" ht="15" hidden="0" customHeight="1">
      <x:c r="A77" s="2" t="str">
        <x:v>interior300</x:v>
      </x:c>
      <x:c r="B77" s="12" t="n">
        <x:v>2</x:v>
      </x:c>
      <x:c r="C77" s="2" t="str">
        <x:v>indoorcad_bc313e18aa95b3</x:v>
      </x:c>
      <x:c r="D77" s="8" t="str">
        <x:v>FormFold Assy_SLDASM</x:v>
      </x:c>
      <x:c r="E77" s="2" t="str">
        <x:v>table</x:v>
      </x:c>
      <x:c r="F77" s="2" t="str">
        <x:v>exhausted</x:v>
      </x:c>
      <x:c r="G77" s="12" t="n">
        <x:v>1</x:v>
      </x:c>
      <x:c r="H77" s="9"/>
      <x:c r="I77" s="9" t="n">
        <x:v>0.2630148727453475</x:v>
      </x:c>
      <x:c r="J77" s="13" t="n">
        <x:v>1</x:v>
      </x:c>
      <x:c r="K77" s="13" t="n">
        <x:v>5</x:v>
      </x:c>
      <x:c r="L77" s="13" t="n">
        <x:v>50810</x:v>
      </x:c>
      <x:c r="M77" s="10" t="n">
        <x:v>0.01142315</x:v>
      </x:c>
      <x:c r="N77" s="11" t="n">
        <x:v>168.0546439170139</x:v>
      </x:c>
      <x:c r="O77" s="2" t="str">
        <x:v>indoorcad</x:v>
      </x:c>
      <x:c r="P77" s="2" t="str">
        <x:v>max_iterations</x:v>
      </x:c>
      <x:c r="Q77" s="2" t="str">
        <x:v>dd3271453f684c8d24c06ae980dcc9b71d064674d38de8a2fd9f6f7d71686099</x:v>
      </x:c>
      <x:c r="R77" s="9" t="n">
        <x:f>IF(G77=1,IF(ISNUMBER(H77),H77,0),"")</x:f>
        <x:v>0</x:v>
      </x:c>
      <x:c r="S77" s="9" t="n">
        <x:f>IF(G77=1,IF(ISNUMBER(I77),I77,0),"")</x:f>
        <x:v>0.2630148727453475</x:v>
      </x:c>
      <x:c r="T77" s="12" t="n">
        <x:f>IF(G77=1,IF(S77&gt;=0.9,1,0),0)</x:f>
        <x:v>0</x:v>
      </x:c>
      <x:c r="U77" s="12" t="n">
        <x:f>IF(G77=1,IF(S77&gt;R77+0.000001,1,0),0)</x:f>
        <x:v>1</x:v>
      </x:c>
    </x:row>
    <x:row r="78" ht="15" hidden="0" customHeight="1">
      <x:c r="A78" s="2" t="str">
        <x:v>interior300</x:v>
      </x:c>
      <x:c r="B78" s="12" t="n">
        <x:v>2</x:v>
      </x:c>
      <x:c r="C78" s="2" t="str">
        <x:v>polyhaven_tea_set_01</x:v>
      </x:c>
      <x:c r="D78" s="8" t="str">
        <x:v>Tea Set 01</x:v>
      </x:c>
      <x:c r="E78" s="2" t="str">
        <x:v>kitchen</x:v>
      </x:c>
      <x:c r="F78" s="2" t="str">
        <x:v>exhausted</x:v>
      </x:c>
      <x:c r="G78" s="12" t="n">
        <x:v>1</x:v>
      </x:c>
      <x:c r="H78" s="9" t="n">
        <x:v>0.00211169550829989</x:v>
      </x:c>
      <x:c r="I78" s="9" t="n">
        <x:v>0.17159694033636164</x:v>
      </x:c>
      <x:c r="J78" s="13" t="n">
        <x:v>1</x:v>
      </x:c>
      <x:c r="K78" s="13" t="n">
        <x:v>5</x:v>
      </x:c>
      <x:c r="L78" s="13" t="n">
        <x:v>60145</x:v>
      </x:c>
      <x:c r="M78" s="10" t="n">
        <x:v>0.014782324999999999</x:v>
      </x:c>
      <x:c r="N78" s="11" t="n">
        <x:v>210.20712104101048</x:v>
      </x:c>
      <x:c r="O78" s="2" t="str">
        <x:v>polyhaven</x:v>
      </x:c>
      <x:c r="P78" s="2" t="str">
        <x:v>max_iterations</x:v>
      </x:c>
      <x:c r="Q78" s="2" t="str">
        <x:v>539d6f6ca91dc4da3b2ccc82ac73da8b16c65f865550385928e2745c1cc59c7c</x:v>
      </x:c>
      <x:c r="R78" s="9" t="n">
        <x:f>IF(G78=1,IF(ISNUMBER(H78),H78,0),"")</x:f>
        <x:v>0.00211169550829989</x:v>
      </x:c>
      <x:c r="S78" s="9" t="n">
        <x:f>IF(G78=1,IF(ISNUMBER(I78),I78,0),"")</x:f>
        <x:v>0.17159694033636164</x:v>
      </x:c>
      <x:c r="T78" s="12" t="n">
        <x:f>IF(G78=1,IF(S78&gt;=0.9,1,0),0)</x:f>
        <x:v>0</x:v>
      </x:c>
      <x:c r="U78" s="12" t="n">
        <x:f>IF(G78=1,IF(S78&gt;R78+0.000001,1,0),0)</x:f>
        <x:v>1</x:v>
      </x:c>
    </x:row>
    <x:row r="79" ht="15" hidden="0" customHeight="1">
      <x:c r="A79" s="2" t="str">
        <x:v>interior300</x:v>
      </x:c>
      <x:c r="B79" s="12" t="n">
        <x:v>2</x:v>
      </x:c>
      <x:c r="C79" s="2" t="str">
        <x:v>indoorcad_d6c7b21e3568e2</x:v>
      </x:c>
      <x:c r="D79" s="8" t="str">
        <x:v>Lej_Apaks_Sk_Lb_sans_SLDPRT</x:v>
      </x:c>
      <x:c r="E79" s="2" t="str">
        <x:v>chair</x:v>
      </x:c>
      <x:c r="F79" s="2" t="str">
        <x:v>success</x:v>
      </x:c>
      <x:c r="G79" s="12" t="n">
        <x:v>1</x:v>
      </x:c>
      <x:c r="H79" s="9" t="n">
        <x:v>0.9976660447339734</x:v>
      </x:c>
      <x:c r="I79" s="9" t="n">
        <x:v>0.9976660447339734</x:v>
      </x:c>
      <x:c r="J79" s="13" t="n">
        <x:v>1</x:v>
      </x:c>
      <x:c r="K79" s="13" t="n">
        <x:v>1</x:v>
      </x:c>
      <x:c r="L79" s="13" t="n">
        <x:v>5178</x:v>
      </x:c>
      <x:c r="M79" s="10" t="n">
        <x:v>0.001760925</x:v>
      </x:c>
      <x:c r="N79" s="11" t="n">
        <x:v>31.062437917002594</x:v>
      </x:c>
      <x:c r="O79" s="2" t="str">
        <x:v>indoorcad</x:v>
      </x:c>
      <x:c r="P79" s="2" t="str">
        <x:v>target_iou</x:v>
      </x:c>
      <x:c r="Q79" s="2" t="str">
        <x:v>c00fdf224cdc0063b04ee4e7d5f6d74d21f7835370d4479d28c9edcab4084c84</x:v>
      </x:c>
      <x:c r="R79" s="9" t="n">
        <x:f>IF(G79=1,IF(ISNUMBER(H79),H79,0),"")</x:f>
        <x:v>0.9976660447339734</x:v>
      </x:c>
      <x:c r="S79" s="9" t="n">
        <x:f>IF(G79=1,IF(ISNUMBER(I79),I79,0),"")</x:f>
        <x:v>0.9976660447339734</x:v>
      </x:c>
      <x:c r="T79" s="12" t="n">
        <x:f>IF(G79=1,IF(S79&gt;=0.9,1,0),0)</x:f>
        <x:v>1</x:v>
      </x:c>
      <x:c r="U79" s="12" t="n">
        <x:f>IF(G79=1,IF(S79&gt;R79+0.000001,1,0),0)</x:f>
        <x:v>0</x:v>
      </x:c>
    </x:row>
    <x:row r="80" ht="15" hidden="0" customHeight="1">
      <x:c r="A80" s="2" t="str">
        <x:v>interior300</x:v>
      </x:c>
      <x:c r="B80" s="12" t="n">
        <x:v>2</x:v>
      </x:c>
      <x:c r="C80" s="2" t="str">
        <x:v>indoorcad_6749105ce37bf7</x:v>
      </x:c>
      <x:c r="D80" s="8" t="str">
        <x:v>Cat scratching post_SLDPRT</x:v>
      </x:c>
      <x:c r="E80" s="2" t="str">
        <x:v>other_furniture</x:v>
      </x:c>
      <x:c r="F80" s="2" t="str">
        <x:v>exhausted</x:v>
      </x:c>
      <x:c r="G80" s="12" t="n">
        <x:v>1</x:v>
      </x:c>
      <x:c r="H80" s="9" t="n">
        <x:v>0.04033796198841007</x:v>
      </x:c>
      <x:c r="I80" s="9" t="n">
        <x:v>0.07958465736352102</x:v>
      </x:c>
      <x:c r="J80" s="13" t="n">
        <x:v>1</x:v>
      </x:c>
      <x:c r="K80" s="13" t="n">
        <x:v>5</x:v>
      </x:c>
      <x:c r="L80" s="13" t="n">
        <x:v>57224</x:v>
      </x:c>
      <x:c r="M80" s="10" t="n">
        <x:v>0.013756075</x:v>
      </x:c>
      <x:c r="N80" s="11" t="n">
        <x:v>204.527907831021</x:v>
      </x:c>
      <x:c r="O80" s="2" t="str">
        <x:v>indoorcad</x:v>
      </x:c>
      <x:c r="P80" s="2" t="str">
        <x:v>max_iterations</x:v>
      </x:c>
      <x:c r="Q80" s="2" t="str">
        <x:v>f1b7f831f4eb5e4d2c662c7eec61da8e93214b48ac998f27c370a11a264741e6</x:v>
      </x:c>
      <x:c r="R80" s="9" t="n">
        <x:f>IF(G80=1,IF(ISNUMBER(H80),H80,0),"")</x:f>
        <x:v>0.04033796198841007</x:v>
      </x:c>
      <x:c r="S80" s="9" t="n">
        <x:f>IF(G80=1,IF(ISNUMBER(I80),I80,0),"")</x:f>
        <x:v>0.07958465736352102</x:v>
      </x:c>
      <x:c r="T80" s="12" t="n">
        <x:f>IF(G80=1,IF(S80&gt;=0.9,1,0),0)</x:f>
        <x:v>0</x:v>
      </x:c>
      <x:c r="U80" s="12" t="n">
        <x:f>IF(G80=1,IF(S80&gt;R80+0.000001,1,0),0)</x:f>
        <x:v>1</x:v>
      </x:c>
    </x:row>
    <x:row r="81" ht="15" hidden="0" customHeight="1">
      <x:c r="A81" s="2" t="str">
        <x:v>interior300</x:v>
      </x:c>
      <x:c r="B81" s="12" t="n">
        <x:v>2</x:v>
      </x:c>
      <x:c r="C81" s="2" t="str">
        <x:v>indoorcad_d0900f7526783a</x:v>
      </x:c>
      <x:c r="D81" s="8" t="str">
        <x:v>ДИАНА БМК 140_SLDASM</x:v>
      </x:c>
      <x:c r="E81" s="2" t="str">
        <x:v>bed</x:v>
      </x:c>
      <x:c r="F81" s="2" t="str">
        <x:v>stalled</x:v>
      </x:c>
      <x:c r="G81" s="12" t="n">
        <x:v>1</x:v>
      </x:c>
      <x:c r="H81" s="9" t="n">
        <x:v>0.003005436182290321</x:v>
      </x:c>
      <x:c r="I81" s="9" t="n">
        <x:v>0.003005436182290321</x:v>
      </x:c>
      <x:c r="J81" s="13" t="n">
        <x:v>1</x:v>
      </x:c>
      <x:c r="K81" s="13" t="n">
        <x:v>4</x:v>
      </x:c>
      <x:c r="L81" s="13" t="n">
        <x:v>45138</x:v>
      </x:c>
      <x:c r="M81" s="10" t="n">
        <x:v>0.011165475000000001</x:v>
      </x:c>
      <x:c r="N81" s="11" t="n">
        <x:v>160.1351782500042</x:v>
      </x:c>
      <x:c r="O81" s="2" t="str">
        <x:v>indoorcad</x:v>
      </x:c>
      <x:c r="P81" s="2" t="str">
        <x:v>no_improvement</x:v>
      </x:c>
      <x:c r="Q81" s="2" t="str">
        <x:v>86c7cbd0329879ea0822e131bf6df868b8010de4ec90eec88acfaafb66069913</x:v>
      </x:c>
      <x:c r="R81" s="9" t="n">
        <x:f>IF(G81=1,IF(ISNUMBER(H81),H81,0),"")</x:f>
        <x:v>0.003005436182290321</x:v>
      </x:c>
      <x:c r="S81" s="9" t="n">
        <x:f>IF(G81=1,IF(ISNUMBER(I81),I81,0),"")</x:f>
        <x:v>0.003005436182290321</x:v>
      </x:c>
      <x:c r="T81" s="12" t="n">
        <x:f>IF(G81=1,IF(S81&gt;=0.9,1,0),0)</x:f>
        <x:v>0</x:v>
      </x:c>
      <x:c r="U81" s="12" t="n">
        <x:f>IF(G81=1,IF(S81&gt;R81+0.000001,1,0),0)</x:f>
        <x:v>0</x:v>
      </x:c>
    </x:row>
    <x:row r="82" ht="15" hidden="0" customHeight="1">
      <x:c r="A82" s="2" t="str">
        <x:v>interior300</x:v>
      </x:c>
      <x:c r="B82" s="12" t="n">
        <x:v>2</x:v>
      </x:c>
      <x:c r="C82" s="2" t="str">
        <x:v>indoorcad_10fe1733a6863d</x:v>
      </x:c>
      <x:c r="D82" s="8" t="str">
        <x:v>Tooth Coffee Table_SLDPRT</x:v>
      </x:c>
      <x:c r="E82" s="2" t="str">
        <x:v>cabinet</x:v>
      </x:c>
      <x:c r="F82" s="2" t="str">
        <x:v>success</x:v>
      </x:c>
      <x:c r="G82" s="12" t="n">
        <x:v>1</x:v>
      </x:c>
      <x:c r="H82" s="9" t="n">
        <x:v>0.6646371704516982</x:v>
      </x:c>
      <x:c r="I82" s="9" t="n">
        <x:v>0.9046530688285482</x:v>
      </x:c>
      <x:c r="J82" s="13" t="n">
        <x:v>1</x:v>
      </x:c>
      <x:c r="K82" s="13" t="n">
        <x:v>4</x:v>
      </x:c>
      <x:c r="L82" s="13" t="n">
        <x:v>35696</x:v>
      </x:c>
      <x:c r="M82" s="10" t="n">
        <x:v>0.00886438</x:v>
      </x:c>
      <x:c r="N82" s="11" t="n">
        <x:v>152.52092237599857</x:v>
      </x:c>
      <x:c r="O82" s="2" t="str">
        <x:v>indoorcad</x:v>
      </x:c>
      <x:c r="P82" s="2" t="str">
        <x:v>target_iou</x:v>
      </x:c>
      <x:c r="Q82" s="2" t="str">
        <x:v>d424c1387e3920134fbf41c7ffe1c4c69361fbbff5c42525d63718a73311b860</x:v>
      </x:c>
      <x:c r="R82" s="9" t="n">
        <x:f>IF(G82=1,IF(ISNUMBER(H82),H82,0),"")</x:f>
        <x:v>0.6646371704516982</x:v>
      </x:c>
      <x:c r="S82" s="9" t="n">
        <x:f>IF(G82=1,IF(ISNUMBER(I82),I82,0),"")</x:f>
        <x:v>0.9046530688285482</x:v>
      </x:c>
      <x:c r="T82" s="12" t="n">
        <x:f>IF(G82=1,IF(S82&gt;=0.9,1,0),0)</x:f>
        <x:v>1</x:v>
      </x:c>
      <x:c r="U82" s="12" t="n">
        <x:f>IF(G82=1,IF(S82&gt;R82+0.000001,1,0),0)</x:f>
        <x:v>1</x:v>
      </x:c>
    </x:row>
    <x:row r="83" ht="15" hidden="0" customHeight="1">
      <x:c r="A83" s="2" t="str">
        <x:v>interior300</x:v>
      </x:c>
      <x:c r="B83" s="12" t="n">
        <x:v>2</x:v>
      </x:c>
      <x:c r="C83" s="2" t="str">
        <x:v>polyhaven_ceramic_vase_02</x:v>
      </x:c>
      <x:c r="D83" s="8" t="str">
        <x:v>Ceramic Vase 02</x:v>
      </x:c>
      <x:c r="E83" s="2" t="str">
        <x:v>decor</x:v>
      </x:c>
      <x:c r="F83" s="2" t="str">
        <x:v>exhausted</x:v>
      </x:c>
      <x:c r="G83" s="12" t="n">
        <x:v>1</x:v>
      </x:c>
      <x:c r="H83" s="9" t="n">
        <x:v>0.4968072247291896</x:v>
      </x:c>
      <x:c r="I83" s="9" t="n">
        <x:v>0.639529609870523</x:v>
      </x:c>
      <x:c r="J83" s="13" t="n">
        <x:v>1</x:v>
      </x:c>
      <x:c r="K83" s="13" t="n">
        <x:v>5</x:v>
      </x:c>
      <x:c r="L83" s="13" t="n">
        <x:v>42319</x:v>
      </x:c>
      <x:c r="M83" s="10" t="n">
        <x:v>0.008827325</x:v>
      </x:c>
      <x:c r="N83" s="11" t="n">
        <x:v>148.54117862399738</x:v>
      </x:c>
      <x:c r="O83" s="2" t="str">
        <x:v>polyhaven</x:v>
      </x:c>
      <x:c r="P83" s="2" t="str">
        <x:v>max_iterations</x:v>
      </x:c>
      <x:c r="Q83" s="2" t="str">
        <x:v>37a76ad414a0ec1e9e44bbfede764d30eac902485a254af5689bcf42b38747f1</x:v>
      </x:c>
      <x:c r="R83" s="9" t="n">
        <x:f>IF(G83=1,IF(ISNUMBER(H83),H83,0),"")</x:f>
        <x:v>0.4968072247291896</x:v>
      </x:c>
      <x:c r="S83" s="9" t="n">
        <x:f>IF(G83=1,IF(ISNUMBER(I83),I83,0),"")</x:f>
        <x:v>0.639529609870523</x:v>
      </x:c>
      <x:c r="T83" s="12" t="n">
        <x:f>IF(G83=1,IF(S83&gt;=0.9,1,0),0)</x:f>
        <x:v>0</x:v>
      </x:c>
      <x:c r="U83" s="12" t="n">
        <x:f>IF(G83=1,IF(S83&gt;R83+0.000001,1,0),0)</x:f>
        <x:v>1</x:v>
      </x:c>
    </x:row>
    <x:row r="84" ht="15" hidden="0" customHeight="1">
      <x:c r="A84" s="2" t="str">
        <x:v>interior300</x:v>
      </x:c>
      <x:c r="B84" s="12" t="n">
        <x:v>3</x:v>
      </x:c>
      <x:c r="C84" s="2" t="str">
        <x:v>indoorcad_128e68d773bfc3</x:v>
      </x:c>
      <x:c r="D84" s="8" t="str">
        <x:v>Kandila with housing_SLDASM</x:v>
      </x:c>
      <x:c r="E84" s="2" t="str">
        <x:v>desktop_object</x:v>
      </x:c>
      <x:c r="F84" s="2" t="str">
        <x:v>stalled</x:v>
      </x:c>
      <x:c r="G84" s="12" t="n">
        <x:v>1</x:v>
      </x:c>
      <x:c r="H84" s="9" t="n">
        <x:v>0.12588048683452235</x:v>
      </x:c>
      <x:c r="I84" s="9" t="n">
        <x:v>0.6676717182870604</x:v>
      </x:c>
      <x:c r="J84" s="13" t="n">
        <x:v>1</x:v>
      </x:c>
      <x:c r="K84" s="13" t="n">
        <x:v>5</x:v>
      </x:c>
      <x:c r="L84" s="13" t="n">
        <x:v>36507</x:v>
      </x:c>
      <x:c r="M84" s="10" t="n">
        <x:v>0.007748665</x:v>
      </x:c>
      <x:c r="N84" s="11" t="n">
        <x:v>138.05766316498244</x:v>
      </x:c>
      <x:c r="O84" s="2" t="str">
        <x:v>indoorcad</x:v>
      </x:c>
      <x:c r="P84" s="2" t="str">
        <x:v>no_improvement</x:v>
      </x:c>
      <x:c r="Q84" s="2" t="str">
        <x:v>2269c83698e8edf12ed245f0caa14068038e329500cad6d37a947a71e4990a6d</x:v>
      </x:c>
      <x:c r="R84" s="9" t="n">
        <x:f>IF(G84=1,IF(ISNUMBER(H84),H84,0),"")</x:f>
        <x:v>0.12588048683452235</x:v>
      </x:c>
      <x:c r="S84" s="9" t="n">
        <x:f>IF(G84=1,IF(ISNUMBER(I84),I84,0),"")</x:f>
        <x:v>0.6676717182870604</x:v>
      </x:c>
      <x:c r="T84" s="12" t="n">
        <x:f>IF(G84=1,IF(S84&gt;=0.9,1,0),0)</x:f>
        <x:v>0</x:v>
      </x:c>
      <x:c r="U84" s="12" t="n">
        <x:f>IF(G84=1,IF(S84&gt;R84+0.000001,1,0),0)</x:f>
        <x:v>1</x:v>
      </x:c>
    </x:row>
    <x:row r="85" ht="15" hidden="0" customHeight="1">
      <x:c r="A85" s="2" t="str">
        <x:v>interior300</x:v>
      </x:c>
      <x:c r="B85" s="12" t="n">
        <x:v>3</x:v>
      </x:c>
      <x:c r="C85" s="2" t="str">
        <x:v>indoorcad_e3137032489228</x:v>
      </x:c>
      <x:c r="D85" s="8" t="str">
        <x:v>Sheet_STEP</x:v>
      </x:c>
      <x:c r="E85" s="2" t="str">
        <x:v>lamp</x:v>
      </x:c>
      <x:c r="F85" s="2" t="str">
        <x:v>exhausted</x:v>
      </x:c>
      <x:c r="G85" s="12" t="n">
        <x:v>1</x:v>
      </x:c>
      <x:c r="H85" s="9" t="n">
        <x:v>0.046272143365021653</x:v>
      </x:c>
      <x:c r="I85" s="9" t="n">
        <x:v>0.11253532474122237</x:v>
      </x:c>
      <x:c r="J85" s="13" t="n">
        <x:v>1</x:v>
      </x:c>
      <x:c r="K85" s="13" t="n">
        <x:v>5</x:v>
      </x:c>
      <x:c r="L85" s="13" t="n">
        <x:v>40785</x:v>
      </x:c>
      <x:c r="M85" s="10" t="n">
        <x:v>0.009868335</x:v>
      </x:c>
      <x:c r="N85" s="11" t="n">
        <x:v>163.2386955829996</x:v>
      </x:c>
      <x:c r="O85" s="2" t="str">
        <x:v>indoorcad</x:v>
      </x:c>
      <x:c r="P85" s="2" t="str">
        <x:v>max_iterations</x:v>
      </x:c>
      <x:c r="Q85" s="2" t="str">
        <x:v>dc427f46a1d30e912fdd75baea539d82efe0d8f68dfd45fb2f336f52486e35b7</x:v>
      </x:c>
      <x:c r="R85" s="9" t="n">
        <x:f>IF(G85=1,IF(ISNUMBER(H85),H85,0),"")</x:f>
        <x:v>0.046272143365021653</x:v>
      </x:c>
      <x:c r="S85" s="9" t="n">
        <x:f>IF(G85=1,IF(ISNUMBER(I85),I85,0),"")</x:f>
        <x:v>0.11253532474122237</x:v>
      </x:c>
      <x:c r="T85" s="12" t="n">
        <x:f>IF(G85=1,IF(S85&gt;=0.9,1,0),0)</x:f>
        <x:v>0</x:v>
      </x:c>
      <x:c r="U85" s="12" t="n">
        <x:f>IF(G85=1,IF(S85&gt;R85+0.000001,1,0),0)</x:f>
        <x:v>1</x:v>
      </x:c>
    </x:row>
    <x:row r="86" ht="15" hidden="0" customHeight="1">
      <x:c r="A86" s="2" t="str">
        <x:v>interior300</x:v>
      </x:c>
      <x:c r="B86" s="12" t="n">
        <x:v>3</x:v>
      </x:c>
      <x:c r="C86" s="2" t="str">
        <x:v>indoorcad_ac68db1f657ad3</x:v>
      </x:c>
      <x:c r="D86" s="8" t="str">
        <x:v>Sofa 3_SLDPRT</x:v>
      </x:c>
      <x:c r="E86" s="2" t="str">
        <x:v>sofa</x:v>
      </x:c>
      <x:c r="F86" s="2" t="str">
        <x:v>stalled</x:v>
      </x:c>
      <x:c r="G86" s="12" t="n">
        <x:v>1</x:v>
      </x:c>
      <x:c r="H86" s="9" t="n">
        <x:v>0.15725876454617405</x:v>
      </x:c>
      <x:c r="I86" s="9" t="n">
        <x:v>0.15725876454617405</x:v>
      </x:c>
      <x:c r="J86" s="13" t="n">
        <x:v>1</x:v>
      </x:c>
      <x:c r="K86" s="13" t="n">
        <x:v>4</x:v>
      </x:c>
      <x:c r="L86" s="13" t="n">
        <x:v>41220</x:v>
      </x:c>
      <x:c r="M86" s="10" t="n">
        <x:v>0.010199475</x:v>
      </x:c>
      <x:c r="N86" s="11" t="n">
        <x:v>183.4300554159803</x:v>
      </x:c>
      <x:c r="O86" s="2" t="str">
        <x:v>indoorcad</x:v>
      </x:c>
      <x:c r="P86" s="2" t="str">
        <x:v>no_improvement</x:v>
      </x:c>
      <x:c r="Q86" s="2" t="str">
        <x:v>8b5045d3c139878d775e32fb88b94d7a3ec12f1d66eda5bed7d8513cfbaaf504</x:v>
      </x:c>
      <x:c r="R86" s="9" t="n">
        <x:f>IF(G86=1,IF(ISNUMBER(H86),H86,0),"")</x:f>
        <x:v>0.15725876454617405</x:v>
      </x:c>
      <x:c r="S86" s="9" t="n">
        <x:f>IF(G86=1,IF(ISNUMBER(I86),I86,0),"")</x:f>
        <x:v>0.15725876454617405</x:v>
      </x:c>
      <x:c r="T86" s="12" t="n">
        <x:f>IF(G86=1,IF(S86&gt;=0.9,1,0),0)</x:f>
        <x:v>0</x:v>
      </x:c>
      <x:c r="U86" s="12" t="n">
        <x:f>IF(G86=1,IF(S86&gt;R86+0.000001,1,0),0)</x:f>
        <x:v>0</x:v>
      </x:c>
    </x:row>
    <x:row r="87" ht="15" hidden="0" customHeight="1">
      <x:c r="A87" s="2" t="str">
        <x:v>interior300</x:v>
      </x:c>
      <x:c r="B87" s="12" t="n">
        <x:v>3</x:v>
      </x:c>
      <x:c r="C87" s="2" t="str">
        <x:v>indoorcad_f9d299a3479ab5</x:v>
      </x:c>
      <x:c r="D87" s="8" t="str">
        <x:v>table &amp; chear_SLDPRT</x:v>
      </x:c>
      <x:c r="E87" s="2" t="str">
        <x:v>table</x:v>
      </x:c>
      <x:c r="F87" s="2" t="str">
        <x:v>exhausted</x:v>
      </x:c>
      <x:c r="G87" s="12" t="n">
        <x:v>1</x:v>
      </x:c>
      <x:c r="H87" s="9" t="n">
        <x:v>0.06815012315372071</x:v>
      </x:c>
      <x:c r="I87" s="9" t="n">
        <x:v>0.147800600815631</x:v>
      </x:c>
      <x:c r="J87" s="13" t="n">
        <x:v>1</x:v>
      </x:c>
      <x:c r="K87" s="13" t="n">
        <x:v>5</x:v>
      </x:c>
      <x:c r="L87" s="13" t="n">
        <x:v>51472</x:v>
      </x:c>
      <x:c r="M87" s="10" t="n">
        <x:v>0.013410915</x:v>
      </x:c>
      <x:c r="N87" s="11" t="n">
        <x:v>205.84170658299757</x:v>
      </x:c>
      <x:c r="O87" s="2" t="str">
        <x:v>indoorcad</x:v>
      </x:c>
      <x:c r="P87" s="2" t="str">
        <x:v>max_iterations</x:v>
      </x:c>
      <x:c r="Q87" s="2" t="str">
        <x:v>feb20a9a2a988eb24607cf0cf9052c713c978c70b1fef1553b5791cb22146676</x:v>
      </x:c>
      <x:c r="R87" s="9" t="n">
        <x:f>IF(G87=1,IF(ISNUMBER(H87),H87,0),"")</x:f>
        <x:v>0.06815012315372071</x:v>
      </x:c>
      <x:c r="S87" s="9" t="n">
        <x:f>IF(G87=1,IF(ISNUMBER(I87),I87,0),"")</x:f>
        <x:v>0.147800600815631</x:v>
      </x:c>
      <x:c r="T87" s="12" t="n">
        <x:f>IF(G87=1,IF(S87&gt;=0.9,1,0),0)</x:f>
        <x:v>0</x:v>
      </x:c>
      <x:c r="U87" s="12" t="n">
        <x:f>IF(G87=1,IF(S87&gt;R87+0.000001,1,0),0)</x:f>
        <x:v>1</x:v>
      </x:c>
    </x:row>
    <x:row r="88" ht="15" hidden="0" customHeight="1">
      <x:c r="A88" s="2" t="str">
        <x:v>interior300</x:v>
      </x:c>
      <x:c r="B88" s="12" t="n">
        <x:v>3</x:v>
      </x:c>
      <x:c r="C88" s="2" t="str">
        <x:v>polyhaven_plastic_monobloc_chair_01</x:v>
      </x:c>
      <x:c r="D88" s="8" t="str">
        <x:v>Plastic Monobloc Chair 01</x:v>
      </x:c>
      <x:c r="E88" s="2" t="str">
        <x:v>furniture</x:v>
      </x:c>
      <x:c r="F88" s="2" t="str">
        <x:v>stalled</x:v>
      </x:c>
      <x:c r="G88" s="12" t="n">
        <x:v>1</x:v>
      </x:c>
      <x:c r="H88" s="9" t="n">
        <x:v>0.0009021642178612629</x:v>
      </x:c>
      <x:c r="I88" s="9" t="n">
        <x:v>0.009683675296343557</x:v>
      </x:c>
      <x:c r="J88" s="13" t="n">
        <x:v>1</x:v>
      </x:c>
      <x:c r="K88" s="13" t="n">
        <x:v>5</x:v>
      </x:c>
      <x:c r="L88" s="13" t="n">
        <x:v>53359</x:v>
      </x:c>
      <x:c r="M88" s="10" t="n">
        <x:v>0.011759450000000001</x:v>
      </x:c>
      <x:c r="N88" s="11" t="n">
        <x:v>159.76742879098865</x:v>
      </x:c>
      <x:c r="O88" s="2" t="str">
        <x:v>polyhaven</x:v>
      </x:c>
      <x:c r="P88" s="2" t="str">
        <x:v>no_improvement</x:v>
      </x:c>
      <x:c r="Q88" s="2" t="str">
        <x:v>b4a968676758ff4a4184ddfd10d48ca9cf06648b5f241fb93a40a362646761c2</x:v>
      </x:c>
      <x:c r="R88" s="9" t="n">
        <x:f>IF(G88=1,IF(ISNUMBER(H88),H88,0),"")</x:f>
        <x:v>0.0009021642178612629</x:v>
      </x:c>
      <x:c r="S88" s="9" t="n">
        <x:f>IF(G88=1,IF(ISNUMBER(I88),I88,0),"")</x:f>
        <x:v>0.009683675296343557</x:v>
      </x:c>
      <x:c r="T88" s="12" t="n">
        <x:f>IF(G88=1,IF(S88&gt;=0.9,1,0),0)</x:f>
        <x:v>0</x:v>
      </x:c>
      <x:c r="U88" s="12" t="n">
        <x:f>IF(G88=1,IF(S88&gt;R88+0.000001,1,0),0)</x:f>
        <x:v>1</x:v>
      </x:c>
    </x:row>
    <x:row r="89" ht="15" hidden="0" customHeight="1">
      <x:c r="A89" s="2" t="str">
        <x:v>interior300</x:v>
      </x:c>
      <x:c r="B89" s="12" t="n">
        <x:v>3</x:v>
      </x:c>
      <x:c r="C89" s="2" t="str">
        <x:v>indoorcad_24a63dc112b8b0</x:v>
      </x:c>
      <x:c r="D89" s="8" t="str">
        <x:v>Cadeira_preta_SLDPRT</x:v>
      </x:c>
      <x:c r="E89" s="2" t="str">
        <x:v>chair</x:v>
      </x:c>
      <x:c r="F89" s="2" t="str">
        <x:v>stalled</x:v>
      </x:c>
      <x:c r="G89" s="12" t="n">
        <x:v>1</x:v>
      </x:c>
      <x:c r="H89" s="9"/>
      <x:c r="I89" s="9" t="n">
        <x:v>0.07289224772969835</x:v>
      </x:c>
      <x:c r="J89" s="13" t="n">
        <x:v>1</x:v>
      </x:c>
      <x:c r="K89" s="13" t="n">
        <x:v>5</x:v>
      </x:c>
      <x:c r="L89" s="13" t="n">
        <x:v>56197</x:v>
      </x:c>
      <x:c r="M89" s="10" t="n">
        <x:v>0.01350016</x:v>
      </x:c>
      <x:c r="N89" s="11" t="n">
        <x:v>213.55193483298993</x:v>
      </x:c>
      <x:c r="O89" s="2" t="str">
        <x:v>indoorcad</x:v>
      </x:c>
      <x:c r="P89" s="2" t="str">
        <x:v>no_improvement</x:v>
      </x:c>
      <x:c r="Q89" s="2" t="str">
        <x:v>05b8d83b85d39f9380b62441796e61cb79ae9fd718d9287718612e8e30db3cf1</x:v>
      </x:c>
      <x:c r="R89" s="9" t="n">
        <x:f>IF(G89=1,IF(ISNUMBER(H89),H89,0),"")</x:f>
        <x:v>0</x:v>
      </x:c>
      <x:c r="S89" s="9" t="n">
        <x:f>IF(G89=1,IF(ISNUMBER(I89),I89,0),"")</x:f>
        <x:v>0.07289224772969835</x:v>
      </x:c>
      <x:c r="T89" s="12" t="n">
        <x:f>IF(G89=1,IF(S89&gt;=0.9,1,0),0)</x:f>
        <x:v>0</x:v>
      </x:c>
      <x:c r="U89" s="12" t="n">
        <x:f>IF(G89=1,IF(S89&gt;R89+0.000001,1,0),0)</x:f>
        <x:v>1</x:v>
      </x:c>
    </x:row>
    <x:row r="90" ht="15" hidden="0" customHeight="1">
      <x:c r="A90" s="2" t="str">
        <x:v>interior300</x:v>
      </x:c>
      <x:c r="B90" s="12" t="n">
        <x:v>3</x:v>
      </x:c>
      <x:c r="C90" s="2" t="str">
        <x:v>indoorcad_d9661efe89bf33</x:v>
      </x:c>
      <x:c r="D90" s="8" t="str">
        <x:v>Porta900mm_SLDASM</x:v>
      </x:c>
      <x:c r="E90" s="2" t="str">
        <x:v>other_furniture</x:v>
      </x:c>
      <x:c r="F90" s="2" t="str">
        <x:v>success</x:v>
      </x:c>
      <x:c r="G90" s="12" t="n">
        <x:v>1</x:v>
      </x:c>
      <x:c r="H90" s="9" t="n">
        <x:v>0.8930839883368107</x:v>
      </x:c>
      <x:c r="I90" s="9" t="n">
        <x:v>0.994653530312968</x:v>
      </x:c>
      <x:c r="J90" s="13" t="n">
        <x:v>1</x:v>
      </x:c>
      <x:c r="K90" s="13" t="n">
        <x:v>3</x:v>
      </x:c>
      <x:c r="L90" s="13" t="n">
        <x:v>22314</x:v>
      </x:c>
      <x:c r="M90" s="10" t="n">
        <x:v>0.0053013750000000005</x:v>
      </x:c>
      <x:c r="N90" s="11" t="n">
        <x:v>93.69587879201025</x:v>
      </x:c>
      <x:c r="O90" s="2" t="str">
        <x:v>indoorcad</x:v>
      </x:c>
      <x:c r="P90" s="2" t="str">
        <x:v>target_iou</x:v>
      </x:c>
      <x:c r="Q90" s="2" t="str">
        <x:v>4fc0215eb533005bc765bd2c90b4b0557dfa1ba3cf51bbb44dd94fd11321cba5</x:v>
      </x:c>
      <x:c r="R90" s="9" t="n">
        <x:f>IF(G90=1,IF(ISNUMBER(H90),H90,0),"")</x:f>
        <x:v>0.8930839883368107</x:v>
      </x:c>
      <x:c r="S90" s="9" t="n">
        <x:f>IF(G90=1,IF(ISNUMBER(I90),I90,0),"")</x:f>
        <x:v>0.994653530312968</x:v>
      </x:c>
      <x:c r="T90" s="12" t="n">
        <x:f>IF(G90=1,IF(S90&gt;=0.9,1,0),0)</x:f>
        <x:v>1</x:v>
      </x:c>
      <x:c r="U90" s="12" t="n">
        <x:f>IF(G90=1,IF(S90&gt;R90+0.000001,1,0),0)</x:f>
        <x:v>1</x:v>
      </x:c>
    </x:row>
    <x:row r="91" ht="15" hidden="0" customHeight="1">
      <x:c r="A91" s="2" t="str">
        <x:v>interior300</x:v>
      </x:c>
      <x:c r="B91" s="12" t="n">
        <x:v>3</x:v>
      </x:c>
      <x:c r="C91" s="2" t="str">
        <x:v>indoorcad_affdb1ab3468ff</x:v>
      </x:c>
      <x:c r="D91" s="8" t="str">
        <x:v>Cama_SLDPRT</x:v>
      </x:c>
      <x:c r="E91" s="2" t="str">
        <x:v>bed</x:v>
      </x:c>
      <x:c r="F91" s="2" t="str">
        <x:v>success</x:v>
      </x:c>
      <x:c r="G91" s="12" t="n">
        <x:v>1</x:v>
      </x:c>
      <x:c r="H91" s="9" t="n">
        <x:v>0.9211073142641918</x:v>
      </x:c>
      <x:c r="I91" s="9" t="n">
        <x:v>0.9211073142641918</x:v>
      </x:c>
      <x:c r="J91" s="13" t="n">
        <x:v>1</x:v>
      </x:c>
      <x:c r="K91" s="13" t="n">
        <x:v>1</x:v>
      </x:c>
      <x:c r="L91" s="13" t="n">
        <x:v>6419</x:v>
      </x:c>
      <x:c r="M91" s="10" t="n">
        <x:v>0.00238255</x:v>
      </x:c>
      <x:c r="N91" s="11" t="n">
        <x:v>44.44876687501138</x:v>
      </x:c>
      <x:c r="O91" s="2" t="str">
        <x:v>indoorcad</x:v>
      </x:c>
      <x:c r="P91" s="2" t="str">
        <x:v>target_iou</x:v>
      </x:c>
      <x:c r="Q91" s="2" t="str">
        <x:v>e8d82f9463ef007aa2f1e18625c367e319a09456fc80ad4d2e95bb2e058a6ff7</x:v>
      </x:c>
      <x:c r="R91" s="9" t="n">
        <x:f>IF(G91=1,IF(ISNUMBER(H91),H91,0),"")</x:f>
        <x:v>0.9211073142641918</x:v>
      </x:c>
      <x:c r="S91" s="9" t="n">
        <x:f>IF(G91=1,IF(ISNUMBER(I91),I91,0),"")</x:f>
        <x:v>0.9211073142641918</x:v>
      </x:c>
      <x:c r="T91" s="12" t="n">
        <x:f>IF(G91=1,IF(S91&gt;=0.9,1,0),0)</x:f>
        <x:v>1</x:v>
      </x:c>
      <x:c r="U91" s="12" t="n">
        <x:f>IF(G91=1,IF(S91&gt;R91+0.000001,1,0),0)</x:f>
        <x:v>0</x:v>
      </x:c>
    </x:row>
    <x:row r="92" ht="15" hidden="0" customHeight="1">
      <x:c r="A92" s="2" t="str">
        <x:v>interior300</x:v>
      </x:c>
      <x:c r="B92" s="12" t="n">
        <x:v>3</x:v>
      </x:c>
      <x:c r="C92" s="2" t="str">
        <x:v>indoorcad_300e1e0f4d7428</x:v>
      </x:c>
      <x:c r="D92" s="8" t="str">
        <x:v>Стекло_SLDASM</x:v>
      </x:c>
      <x:c r="E92" s="2" t="str">
        <x:v>cabinet</x:v>
      </x:c>
      <x:c r="F92" s="2" t="str">
        <x:v>stalled</x:v>
      </x:c>
      <x:c r="G92" s="12" t="n">
        <x:v>1</x:v>
      </x:c>
      <x:c r="H92" s="9" t="n">
        <x:v>0.3557769211240728</x:v>
      </x:c>
      <x:c r="I92" s="9" t="n">
        <x:v>0.3557769211240728</x:v>
      </x:c>
      <x:c r="J92" s="13" t="n">
        <x:v>1</x:v>
      </x:c>
      <x:c r="K92" s="13" t="n">
        <x:v>4</x:v>
      </x:c>
      <x:c r="L92" s="13" t="n">
        <x:v>35841</x:v>
      </x:c>
      <x:c r="M92" s="10" t="n">
        <x:v>0.009000975</x:v>
      </x:c>
      <x:c r="N92" s="11" t="n">
        <x:v>139.1357492910023</x:v>
      </x:c>
      <x:c r="O92" s="2" t="str">
        <x:v>indoorcad</x:v>
      </x:c>
      <x:c r="P92" s="2" t="str">
        <x:v>no_improvement</x:v>
      </x:c>
      <x:c r="Q92" s="2" t="str">
        <x:v>c5212a0fd726cac3cdd820716bb06987f017ca4c591304170a937c6d1d6e7047</x:v>
      </x:c>
      <x:c r="R92" s="9" t="n">
        <x:f>IF(G92=1,IF(ISNUMBER(H92),H92,0),"")</x:f>
        <x:v>0.3557769211240728</x:v>
      </x:c>
      <x:c r="S92" s="9" t="n">
        <x:f>IF(G92=1,IF(ISNUMBER(I92),I92,0),"")</x:f>
        <x:v>0.3557769211240728</x:v>
      </x:c>
      <x:c r="T92" s="12" t="n">
        <x:f>IF(G92=1,IF(S92&gt;=0.9,1,0),0)</x:f>
        <x:v>0</x:v>
      </x:c>
      <x:c r="U92" s="12" t="n">
        <x:f>IF(G92=1,IF(S92&gt;R92+0.000001,1,0),0)</x:f>
        <x:v>0</x:v>
      </x:c>
    </x:row>
    <x:row r="93" ht="15" hidden="0" customHeight="1">
      <x:c r="A93" s="2" t="str">
        <x:v>interior300</x:v>
      </x:c>
      <x:c r="B93" s="12" t="n">
        <x:v>3</x:v>
      </x:c>
      <x:c r="C93" s="2" t="str">
        <x:v>polyhaven_wooden_spoon</x:v>
      </x:c>
      <x:c r="D93" s="8" t="str">
        <x:v>Wooden Spoon</x:v>
      </x:c>
      <x:c r="E93" s="2" t="str">
        <x:v>kitchen</x:v>
      </x:c>
      <x:c r="F93" s="2" t="str">
        <x:v>stalled</x:v>
      </x:c>
      <x:c r="G93" s="12" t="n">
        <x:v>1</x:v>
      </x:c>
      <x:c r="H93" s="9" t="n">
        <x:v>0.4352061653905503</x:v>
      </x:c>
      <x:c r="I93" s="9" t="n">
        <x:v>0.4352061653905503</x:v>
      </x:c>
      <x:c r="J93" s="13" t="n">
        <x:v>1</x:v>
      </x:c>
      <x:c r="K93" s="13" t="n">
        <x:v>4</x:v>
      </x:c>
      <x:c r="L93" s="13" t="n">
        <x:v>40214</x:v>
      </x:c>
      <x:c r="M93" s="10" t="n">
        <x:v>0.009953725</x:v>
      </x:c>
      <x:c r="N93" s="11" t="n">
        <x:v>162.22052733400756</x:v>
      </x:c>
      <x:c r="O93" s="2" t="str">
        <x:v>polyhaven</x:v>
      </x:c>
      <x:c r="P93" s="2" t="str">
        <x:v>no_improvement</x:v>
      </x:c>
      <x:c r="Q93" s="2" t="str">
        <x:v>b13445f84fe1647964eafa3c7a7cef72a9b774635d2057957c3fb6b9deec2fa5</x:v>
      </x:c>
      <x:c r="R93" s="9" t="n">
        <x:f>IF(G93=1,IF(ISNUMBER(H93),H93,0),"")</x:f>
        <x:v>0.4352061653905503</x:v>
      </x:c>
      <x:c r="S93" s="9" t="n">
        <x:f>IF(G93=1,IF(ISNUMBER(I93),I93,0),"")</x:f>
        <x:v>0.4352061653905503</x:v>
      </x:c>
      <x:c r="T93" s="12" t="n">
        <x:f>IF(G93=1,IF(S93&gt;=0.9,1,0),0)</x:f>
        <x:v>0</x:v>
      </x:c>
      <x:c r="U93" s="12" t="n">
        <x:f>IF(G93=1,IF(S93&gt;R93+0.000001,1,0),0)</x:f>
        <x:v>0</x:v>
      </x:c>
    </x:row>
    <x:row r="94" ht="15" hidden="0" customHeight="1">
      <x:c r="A94" s="2" t="str">
        <x:v>interior300</x:v>
      </x:c>
      <x:c r="B94" s="12" t="n">
        <x:v>3</x:v>
      </x:c>
      <x:c r="C94" s="2" t="str">
        <x:v>indoorcad_4bfaea37e9d30e</x:v>
      </x:c>
      <x:c r="D94" s="8" t="str">
        <x:v>Стакан центральный - 1 штука (круглая труба)_STEP</x:v>
      </x:c>
      <x:c r="E94" s="2" t="str">
        <x:v>desktop_object</x:v>
      </x:c>
      <x:c r="F94" s="2" t="str">
        <x:v>success</x:v>
      </x:c>
      <x:c r="G94" s="12" t="n">
        <x:v>1</x:v>
      </x:c>
      <x:c r="H94" s="9" t="n">
        <x:v>0.9047062093655569</x:v>
      </x:c>
      <x:c r="I94" s="9" t="n">
        <x:v>0.9047062093655569</x:v>
      </x:c>
      <x:c r="J94" s="13" t="n">
        <x:v>1</x:v>
      </x:c>
      <x:c r="K94" s="13" t="n">
        <x:v>1</x:v>
      </x:c>
      <x:c r="L94" s="13" t="n">
        <x:v>5706</x:v>
      </x:c>
      <x:c r="M94" s="10" t="n">
        <x:v>0.002024925</x:v>
      </x:c>
      <x:c r="N94" s="11" t="n">
        <x:v>38.051958208006575</x:v>
      </x:c>
      <x:c r="O94" s="2" t="str">
        <x:v>indoorcad</x:v>
      </x:c>
      <x:c r="P94" s="2" t="str">
        <x:v>target_iou</x:v>
      </x:c>
      <x:c r="Q94" s="2" t="str">
        <x:v>e10ce184e2c42a80c824eae63b4d469816631489629b07768c96d01bf84c879d</x:v>
      </x:c>
      <x:c r="R94" s="9" t="n">
        <x:f>IF(G94=1,IF(ISNUMBER(H94),H94,0),"")</x:f>
        <x:v>0.9047062093655569</x:v>
      </x:c>
      <x:c r="S94" s="9" t="n">
        <x:f>IF(G94=1,IF(ISNUMBER(I94),I94,0),"")</x:f>
        <x:v>0.9047062093655569</x:v>
      </x:c>
      <x:c r="T94" s="12" t="n">
        <x:f>IF(G94=1,IF(S94&gt;=0.9,1,0),0)</x:f>
        <x:v>1</x:v>
      </x:c>
      <x:c r="U94" s="12" t="n">
        <x:f>IF(G94=1,IF(S94&gt;R94+0.000001,1,0),0)</x:f>
        <x:v>0</x:v>
      </x:c>
    </x:row>
    <x:row r="95" ht="15" hidden="0" customHeight="1">
      <x:c r="A95" s="2" t="str">
        <x:v>interior300</x:v>
      </x:c>
      <x:c r="B95" s="12" t="n">
        <x:v>3</x:v>
      </x:c>
      <x:c r="C95" s="2" t="str">
        <x:v>indoorcad_11e2cb0afe2810</x:v>
      </x:c>
      <x:c r="D95" s="8" t="str">
        <x:v>a_SLDPRT</x:v>
      </x:c>
      <x:c r="E95" s="2" t="str">
        <x:v>lamp</x:v>
      </x:c>
      <x:c r="F95" s="2" t="str">
        <x:v>success</x:v>
      </x:c>
      <x:c r="G95" s="12" t="n">
        <x:v>1</x:v>
      </x:c>
      <x:c r="H95" s="9" t="n">
        <x:v>0.9999556392048757</x:v>
      </x:c>
      <x:c r="I95" s="9" t="n">
        <x:v>0.9999556392048757</x:v>
      </x:c>
      <x:c r="J95" s="13" t="n">
        <x:v>1</x:v>
      </x:c>
      <x:c r="K95" s="13" t="n">
        <x:v>1</x:v>
      </x:c>
      <x:c r="L95" s="13" t="n">
        <x:v>2791</x:v>
      </x:c>
      <x:c r="M95" s="10" t="n">
        <x:v>0.000567425</x:v>
      </x:c>
      <x:c r="N95" s="11" t="n">
        <x:v>10.699112999993027</x:v>
      </x:c>
      <x:c r="O95" s="2" t="str">
        <x:v>indoorcad</x:v>
      </x:c>
      <x:c r="P95" s="2" t="str">
        <x:v>target_iou</x:v>
      </x:c>
      <x:c r="Q95" s="2" t="str">
        <x:v>24944e3eb2e5529e0784f31ceae7c97c077d717853cb6b60a9beb5eaf9e37fa0</x:v>
      </x:c>
      <x:c r="R95" s="9" t="n">
        <x:f>IF(G95=1,IF(ISNUMBER(H95),H95,0),"")</x:f>
        <x:v>0.9999556392048757</x:v>
      </x:c>
      <x:c r="S95" s="9" t="n">
        <x:f>IF(G95=1,IF(ISNUMBER(I95),I95,0),"")</x:f>
        <x:v>0.9999556392048757</x:v>
      </x:c>
      <x:c r="T95" s="12" t="n">
        <x:f>IF(G95=1,IF(S95&gt;=0.9,1,0),0)</x:f>
        <x:v>1</x:v>
      </x:c>
      <x:c r="U95" s="12" t="n">
        <x:f>IF(G95=1,IF(S95&gt;R95+0.000001,1,0),0)</x:f>
        <x:v>0</x:v>
      </x:c>
    </x:row>
    <x:row r="96" ht="15" hidden="0" customHeight="1">
      <x:c r="A96" s="2" t="str">
        <x:v>interior300</x:v>
      </x:c>
      <x:c r="B96" s="12" t="n">
        <x:v>3</x:v>
      </x:c>
      <x:c r="C96" s="2" t="str">
        <x:v>indoorcad_d857bf7a780e97</x:v>
      </x:c>
      <x:c r="D96" s="8" t="str">
        <x:v>rattan furniture set_SLDASM</x:v>
      </x:c>
      <x:c r="E96" s="2" t="str">
        <x:v>sofa</x:v>
      </x:c>
      <x:c r="F96" s="2" t="str">
        <x:v>exhausted</x:v>
      </x:c>
      <x:c r="G96" s="12" t="n">
        <x:v>1</x:v>
      </x:c>
      <x:c r="H96" s="9"/>
      <x:c r="I96" s="9" t="n">
        <x:v>0.7074364018267028</x:v>
      </x:c>
      <x:c r="J96" s="13" t="n">
        <x:v>1</x:v>
      </x:c>
      <x:c r="K96" s="13" t="n">
        <x:v>5</x:v>
      </x:c>
      <x:c r="L96" s="13" t="n">
        <x:v>39843</x:v>
      </x:c>
      <x:c r="M96" s="10" t="n">
        <x:v>0.009340205</x:v>
      </x:c>
      <x:c r="N96" s="11" t="n">
        <x:v>156.181697208</x:v>
      </x:c>
      <x:c r="O96" s="2" t="str">
        <x:v>indoorcad</x:v>
      </x:c>
      <x:c r="P96" s="2" t="str">
        <x:v>max_iterations</x:v>
      </x:c>
      <x:c r="Q96" s="2" t="str">
        <x:v>36e8f645863c1cdb23b3de2832e73fbca9374561db661a46b7b49f82702c1a21</x:v>
      </x:c>
      <x:c r="R96" s="9" t="n">
        <x:f>IF(G96=1,IF(ISNUMBER(H96),H96,0),"")</x:f>
        <x:v>0</x:v>
      </x:c>
      <x:c r="S96" s="9" t="n">
        <x:f>IF(G96=1,IF(ISNUMBER(I96),I96,0),"")</x:f>
        <x:v>0.7074364018267028</x:v>
      </x:c>
      <x:c r="T96" s="12" t="n">
        <x:f>IF(G96=1,IF(S96&gt;=0.9,1,0),0)</x:f>
        <x:v>0</x:v>
      </x:c>
      <x:c r="U96" s="12" t="n">
        <x:f>IF(G96=1,IF(S96&gt;R96+0.000001,1,0),0)</x:f>
        <x:v>1</x:v>
      </x:c>
    </x:row>
    <x:row r="97" ht="15" hidden="0" customHeight="1">
      <x:c r="A97" s="2" t="str">
        <x:v>interior300</x:v>
      </x:c>
      <x:c r="B97" s="12" t="n">
        <x:v>3</x:v>
      </x:c>
      <x:c r="C97" s="2" t="str">
        <x:v>indoorcad_b3926cb11f3a7f</x:v>
      </x:c>
      <x:c r="D97" s="8" t="str">
        <x:v>Escritorio  derecha_SLDASM</x:v>
      </x:c>
      <x:c r="E97" s="2" t="str">
        <x:v>table</x:v>
      </x:c>
      <x:c r="F97" s="2" t="str">
        <x:v>stalled</x:v>
      </x:c>
      <x:c r="G97" s="12" t="n">
        <x:v>1</x:v>
      </x:c>
      <x:c r="H97" s="9" t="n">
        <x:v>0.03354131175530936</x:v>
      </x:c>
      <x:c r="I97" s="9" t="n">
        <x:v>0.03354131175530936</x:v>
      </x:c>
      <x:c r="J97" s="13" t="n">
        <x:v>1</x:v>
      </x:c>
      <x:c r="K97" s="13" t="n">
        <x:v>4</x:v>
      </x:c>
      <x:c r="L97" s="13" t="n">
        <x:v>39802</x:v>
      </x:c>
      <x:c r="M97" s="10" t="n">
        <x:v>0.010367975</x:v>
      </x:c>
      <x:c r="N97" s="11" t="n">
        <x:v>160.39698783101443</x:v>
      </x:c>
      <x:c r="O97" s="2" t="str">
        <x:v>indoorcad</x:v>
      </x:c>
      <x:c r="P97" s="2" t="str">
        <x:v>no_improvement</x:v>
      </x:c>
      <x:c r="Q97" s="2" t="str">
        <x:v>fab290c305ff6f2573c089ae34287ce21bf728ebd2cea673534188cca9645059</x:v>
      </x:c>
      <x:c r="R97" s="9" t="n">
        <x:f>IF(G97=1,IF(ISNUMBER(H97),H97,0),"")</x:f>
        <x:v>0.03354131175530936</x:v>
      </x:c>
      <x:c r="S97" s="9" t="n">
        <x:f>IF(G97=1,IF(ISNUMBER(I97),I97,0),"")</x:f>
        <x:v>0.03354131175530936</x:v>
      </x:c>
      <x:c r="T97" s="12" t="n">
        <x:f>IF(G97=1,IF(S97&gt;=0.9,1,0),0)</x:f>
        <x:v>0</x:v>
      </x:c>
      <x:c r="U97" s="12" t="n">
        <x:f>IF(G97=1,IF(S97&gt;R97+0.000001,1,0),0)</x:f>
        <x:v>0</x:v>
      </x:c>
    </x:row>
    <x:row r="98" ht="15" hidden="0" customHeight="1">
      <x:c r="A98" s="2" t="str">
        <x:v>interior300</x:v>
      </x:c>
      <x:c r="B98" s="12" t="n">
        <x:v>3</x:v>
      </x:c>
      <x:c r="C98" s="2" t="str">
        <x:v>polyhaven_ceramic_vase_03</x:v>
      </x:c>
      <x:c r="D98" s="8" t="str">
        <x:v>Ceramic Vase 03</x:v>
      </x:c>
      <x:c r="E98" s="2" t="str">
        <x:v>decor</x:v>
      </x:c>
      <x:c r="F98" s="2" t="str">
        <x:v>exhausted</x:v>
      </x:c>
      <x:c r="G98" s="12" t="n">
        <x:v>1</x:v>
      </x:c>
      <x:c r="H98" s="9" t="n">
        <x:v>0.16844994364748644</x:v>
      </x:c>
      <x:c r="I98" s="9" t="n">
        <x:v>0.6528988507594337</x:v>
      </x:c>
      <x:c r="J98" s="13" t="n">
        <x:v>1</x:v>
      </x:c>
      <x:c r="K98" s="13" t="n">
        <x:v>5</x:v>
      </x:c>
      <x:c r="L98" s="13" t="n">
        <x:v>39414</x:v>
      </x:c>
      <x:c r="M98" s="10" t="n">
        <x:v>0.008358075</x:v>
      </x:c>
      <x:c r="N98" s="11" t="n">
        <x:v>136.7139259579894</x:v>
      </x:c>
      <x:c r="O98" s="2" t="str">
        <x:v>polyhaven</x:v>
      </x:c>
      <x:c r="P98" s="2" t="str">
        <x:v>max_iterations</x:v>
      </x:c>
      <x:c r="Q98" s="2" t="str">
        <x:v>3bda893b3842dd0abc8cd66eeca7a2ce8214630ed4858da8dd04bcaade5e25b3</x:v>
      </x:c>
      <x:c r="R98" s="9" t="n">
        <x:f>IF(G98=1,IF(ISNUMBER(H98),H98,0),"")</x:f>
        <x:v>0.16844994364748644</x:v>
      </x:c>
      <x:c r="S98" s="9" t="n">
        <x:f>IF(G98=1,IF(ISNUMBER(I98),I98,0),"")</x:f>
        <x:v>0.6528988507594337</x:v>
      </x:c>
      <x:c r="T98" s="12" t="n">
        <x:f>IF(G98=1,IF(S98&gt;=0.9,1,0),0)</x:f>
        <x:v>0</x:v>
      </x:c>
      <x:c r="U98" s="12" t="n">
        <x:f>IF(G98=1,IF(S98&gt;R98+0.000001,1,0),0)</x:f>
        <x:v>1</x:v>
      </x:c>
    </x:row>
    <x:row r="99" ht="15" hidden="0" customHeight="1">
      <x:c r="A99" s="2" t="str">
        <x:v>interior300</x:v>
      </x:c>
      <x:c r="B99" s="12" t="n">
        <x:v>4</x:v>
      </x:c>
      <x:c r="C99" s="2" t="str">
        <x:v>indoorcad_1e935d0a5d5a6d</x:v>
      </x:c>
      <x:c r="D99" s="8" t="str">
        <x:v>Lean Back Chair_SLDASM</x:v>
      </x:c>
      <x:c r="E99" s="2" t="str">
        <x:v>chair</x:v>
      </x:c>
      <x:c r="F99" s="2" t="str">
        <x:v>exhausted</x:v>
      </x:c>
      <x:c r="G99" s="12" t="n">
        <x:v>1</x:v>
      </x:c>
      <x:c r="H99" s="9" t="n">
        <x:v>0.07643913335755902</x:v>
      </x:c>
      <x:c r="I99" s="9" t="n">
        <x:v>0.13079482353287653</x:v>
      </x:c>
      <x:c r="J99" s="13" t="n">
        <x:v>1</x:v>
      </x:c>
      <x:c r="K99" s="13" t="n">
        <x:v>5</x:v>
      </x:c>
      <x:c r="L99" s="13" t="n">
        <x:v>59927</x:v>
      </x:c>
      <x:c r="M99" s="10" t="n">
        <x:v>0.014794825</x:v>
      </x:c>
      <x:c r="N99" s="11" t="n">
        <x:v>241.77403425101937</x:v>
      </x:c>
      <x:c r="O99" s="2" t="str">
        <x:v>indoorcad</x:v>
      </x:c>
      <x:c r="P99" s="2" t="str">
        <x:v>max_iterations</x:v>
      </x:c>
      <x:c r="Q99" s="2" t="str">
        <x:v>b211a22343342e31fbea0a106d557c19ba0c59e3b5e1ec83639a4d66d6267fd4</x:v>
      </x:c>
      <x:c r="R99" s="9" t="n">
        <x:f>IF(G99=1,IF(ISNUMBER(H99),H99,0),"")</x:f>
        <x:v>0.07643913335755902</x:v>
      </x:c>
      <x:c r="S99" s="9" t="n">
        <x:f>IF(G99=1,IF(ISNUMBER(I99),I99,0),"")</x:f>
        <x:v>0.13079482353287653</x:v>
      </x:c>
      <x:c r="T99" s="12" t="n">
        <x:f>IF(G99=1,IF(S99&gt;=0.9,1,0),0)</x:f>
        <x:v>0</x:v>
      </x:c>
      <x:c r="U99" s="12" t="n">
        <x:f>IF(G99=1,IF(S99&gt;R99+0.000001,1,0),0)</x:f>
        <x:v>1</x:v>
      </x:c>
    </x:row>
    <x:row r="100" ht="15" hidden="0" customHeight="1">
      <x:c r="A100" s="2" t="str">
        <x:v>interior300</x:v>
      </x:c>
      <x:c r="B100" s="12" t="n">
        <x:v>4</x:v>
      </x:c>
      <x:c r="C100" s="2" t="str">
        <x:v>indoorcad_356dc60a2d4a7b</x:v>
      </x:c>
      <x:c r="D100" s="8" t="str">
        <x:v>merdevine bele vode_SLDPRT</x:v>
      </x:c>
      <x:c r="E100" s="2" t="str">
        <x:v>other_furniture</x:v>
      </x:c>
      <x:c r="F100" s="2" t="str">
        <x:v>exhausted</x:v>
      </x:c>
      <x:c r="G100" s="12" t="n">
        <x:v>1</x:v>
      </x:c>
      <x:c r="H100" s="9" t="n">
        <x:v>0.5573041229708307</x:v>
      </x:c>
      <x:c r="I100" s="9" t="n">
        <x:v>0.8531589056616917</x:v>
      </x:c>
      <x:c r="J100" s="13" t="n">
        <x:v>1</x:v>
      </x:c>
      <x:c r="K100" s="13" t="n">
        <x:v>5</x:v>
      </x:c>
      <x:c r="L100" s="13" t="n">
        <x:v>41359</x:v>
      </x:c>
      <x:c r="M100" s="10" t="n">
        <x:v>0.009674075</x:v>
      </x:c>
      <x:c r="N100" s="11" t="n">
        <x:v>155.41947591699181</x:v>
      </x:c>
      <x:c r="O100" s="2" t="str">
        <x:v>indoorcad</x:v>
      </x:c>
      <x:c r="P100" s="2" t="str">
        <x:v>max_iterations</x:v>
      </x:c>
      <x:c r="Q100" s="2" t="str">
        <x:v>ddfea1d72b7de5e3213a30fadb81a59724e83968da9ee0ca10a4806ef3758366</x:v>
      </x:c>
      <x:c r="R100" s="9" t="n">
        <x:f>IF(G100=1,IF(ISNUMBER(H100),H100,0),"")</x:f>
        <x:v>0.5573041229708307</x:v>
      </x:c>
      <x:c r="S100" s="9" t="n">
        <x:f>IF(G100=1,IF(ISNUMBER(I100),I100,0),"")</x:f>
        <x:v>0.8531589056616917</x:v>
      </x:c>
      <x:c r="T100" s="12" t="n">
        <x:f>IF(G100=1,IF(S100&gt;=0.9,1,0),0)</x:f>
        <x:v>0</x:v>
      </x:c>
      <x:c r="U100" s="12" t="n">
        <x:f>IF(G100=1,IF(S100&gt;R100+0.000001,1,0),0)</x:f>
        <x:v>1</x:v>
      </x:c>
    </x:row>
    <x:row r="101" ht="15" hidden="0" customHeight="1">
      <x:c r="A101" s="2" t="str">
        <x:v>interior300</x:v>
      </x:c>
      <x:c r="B101" s="12" t="n">
        <x:v>4</x:v>
      </x:c>
      <x:c r="C101" s="2" t="str">
        <x:v>indoorcad_446fa66a463fad</x:v>
      </x:c>
      <x:c r="D101" s="8" t="str">
        <x:v>СПИНКА БМК 90_SLDASM</x:v>
      </x:c>
      <x:c r="E101" s="2" t="str">
        <x:v>bed</x:v>
      </x:c>
      <x:c r="F101" s="2" t="str">
        <x:v>exhausted</x:v>
      </x:c>
      <x:c r="G101" s="12" t="n">
        <x:v>1</x:v>
      </x:c>
      <x:c r="H101" s="9" t="n">
        <x:v>0.0377578061877461</x:v>
      </x:c>
      <x:c r="I101" s="9" t="n">
        <x:v>0.05373915061083801</x:v>
      </x:c>
      <x:c r="J101" s="13" t="n">
        <x:v>1</x:v>
      </x:c>
      <x:c r="K101" s="13" t="n">
        <x:v>5</x:v>
      </x:c>
      <x:c r="L101" s="13" t="n">
        <x:v>59021</x:v>
      </x:c>
      <x:c r="M101" s="10" t="n">
        <x:v>0.01408345</x:v>
      </x:c>
      <x:c r="N101" s="11" t="n">
        <x:v>208.78995962600678</x:v>
      </x:c>
      <x:c r="O101" s="2" t="str">
        <x:v>indoorcad</x:v>
      </x:c>
      <x:c r="P101" s="2" t="str">
        <x:v>max_iterations</x:v>
      </x:c>
      <x:c r="Q101" s="2" t="str">
        <x:v>e20b97e56d65bc69c3acbc4d0f267da7d6745c7beaf710008ef7d8dd5ea12e38</x:v>
      </x:c>
      <x:c r="R101" s="9" t="n">
        <x:f>IF(G101=1,IF(ISNUMBER(H101),H101,0),"")</x:f>
        <x:v>0.0377578061877461</x:v>
      </x:c>
      <x:c r="S101" s="9" t="n">
        <x:f>IF(G101=1,IF(ISNUMBER(I101),I101,0),"")</x:f>
        <x:v>0.05373915061083801</x:v>
      </x:c>
      <x:c r="T101" s="12" t="n">
        <x:f>IF(G101=1,IF(S101&gt;=0.9,1,0),0)</x:f>
        <x:v>0</x:v>
      </x:c>
      <x:c r="U101" s="12" t="n">
        <x:f>IF(G101=1,IF(S101&gt;R101+0.000001,1,0),0)</x:f>
        <x:v>1</x:v>
      </x:c>
    </x:row>
    <x:row r="102" ht="15" hidden="0" customHeight="1">
      <x:c r="A102" s="2" t="str">
        <x:v>interior300</x:v>
      </x:c>
      <x:c r="B102" s="12" t="n">
        <x:v>4</x:v>
      </x:c>
      <x:c r="C102" s="2" t="str">
        <x:v>indoorcad_7bef3278671288</x:v>
      </x:c>
      <x:c r="D102" s="8" t="str">
        <x:v>200170_SLDASM</x:v>
      </x:c>
      <x:c r="E102" s="2" t="str">
        <x:v>cabinet</x:v>
      </x:c>
      <x:c r="F102" s="2" t="str">
        <x:v>stalled</x:v>
      </x:c>
      <x:c r="G102" s="12" t="n">
        <x:v>1</x:v>
      </x:c>
      <x:c r="H102" s="9" t="n">
        <x:v>0.4674294553371484</x:v>
      </x:c>
      <x:c r="I102" s="9" t="n">
        <x:v>0.4674294553371484</x:v>
      </x:c>
      <x:c r="J102" s="13" t="n">
        <x:v>1</x:v>
      </x:c>
      <x:c r="K102" s="13" t="n">
        <x:v>4</x:v>
      </x:c>
      <x:c r="L102" s="13" t="n">
        <x:v>33015</x:v>
      </x:c>
      <x:c r="M102" s="10" t="n">
        <x:v>0.008238915</x:v>
      </x:c>
      <x:c r="N102" s="11" t="n">
        <x:v>137.58385229300148</x:v>
      </x:c>
      <x:c r="O102" s="2" t="str">
        <x:v>indoorcad</x:v>
      </x:c>
      <x:c r="P102" s="2" t="str">
        <x:v>no_improvement</x:v>
      </x:c>
      <x:c r="Q102" s="2" t="str">
        <x:v>1304410c03210e0838d3556b60240af5baf4be6e680a80b12785fcc5d337b9ae</x:v>
      </x:c>
      <x:c r="R102" s="9" t="n">
        <x:f>IF(G102=1,IF(ISNUMBER(H102),H102,0),"")</x:f>
        <x:v>0.4674294553371484</x:v>
      </x:c>
      <x:c r="S102" s="9" t="n">
        <x:f>IF(G102=1,IF(ISNUMBER(I102),I102,0),"")</x:f>
        <x:v>0.4674294553371484</x:v>
      </x:c>
      <x:c r="T102" s="12" t="n">
        <x:f>IF(G102=1,IF(S102&gt;=0.9,1,0),0)</x:f>
        <x:v>0</x:v>
      </x:c>
      <x:c r="U102" s="12" t="n">
        <x:f>IF(G102=1,IF(S102&gt;R102+0.000001,1,0),0)</x:f>
        <x:v>0</x:v>
      </x:c>
    </x:row>
    <x:row r="103" ht="15" hidden="0" customHeight="1">
      <x:c r="A103" s="2" t="str">
        <x:v>interior300</x:v>
      </x:c>
      <x:c r="B103" s="12" t="n">
        <x:v>4</x:v>
      </x:c>
      <x:c r="C103" s="2" t="str">
        <x:v>polyhaven_wooden_cutting_board</x:v>
      </x:c>
      <x:c r="D103" s="8" t="str">
        <x:v>Wooden Cutting Board</x:v>
      </x:c>
      <x:c r="E103" s="2" t="str">
        <x:v>kitchen</x:v>
      </x:c>
      <x:c r="F103" s="2" t="str">
        <x:v>success</x:v>
      </x:c>
      <x:c r="G103" s="12" t="n">
        <x:v>1</x:v>
      </x:c>
      <x:c r="H103" s="9" t="n">
        <x:v>0.8219041499973126</x:v>
      </x:c>
      <x:c r="I103" s="9" t="n">
        <x:v>0.9065545548553271</x:v>
      </x:c>
      <x:c r="J103" s="13" t="n">
        <x:v>1</x:v>
      </x:c>
      <x:c r="K103" s="13" t="n">
        <x:v>4</x:v>
      </x:c>
      <x:c r="L103" s="13" t="n">
        <x:v>33521</x:v>
      </x:c>
      <x:c r="M103" s="10" t="n">
        <x:v>0.007826725</x:v>
      </x:c>
      <x:c r="N103" s="11" t="n">
        <x:v>130.7143078339986</x:v>
      </x:c>
      <x:c r="O103" s="2" t="str">
        <x:v>polyhaven</x:v>
      </x:c>
      <x:c r="P103" s="2" t="str">
        <x:v>target_iou</x:v>
      </x:c>
      <x:c r="Q103" s="2" t="str">
        <x:v>c169107eabc130faa4015f945609534e35965afe2d0cba9808c930580e903ab1</x:v>
      </x:c>
      <x:c r="R103" s="9" t="n">
        <x:f>IF(G103=1,IF(ISNUMBER(H103),H103,0),"")</x:f>
        <x:v>0.8219041499973126</x:v>
      </x:c>
      <x:c r="S103" s="9" t="n">
        <x:f>IF(G103=1,IF(ISNUMBER(I103),I103,0),"")</x:f>
        <x:v>0.9065545548553271</x:v>
      </x:c>
      <x:c r="T103" s="12" t="n">
        <x:f>IF(G103=1,IF(S103&gt;=0.9,1,0),0)</x:f>
        <x:v>1</x:v>
      </x:c>
      <x:c r="U103" s="12" t="n">
        <x:f>IF(G103=1,IF(S103&gt;R103+0.000001,1,0),0)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673d29a330a41cc"/>
  </x:tableParts>
</x:worksheet>
</file>